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3C3ED0FA-037C-4CDE-A967-2CCB340B00E5}" xr6:coauthVersionLast="47" xr6:coauthVersionMax="47" xr10:uidLastSave="{00000000-0000-0000-0000-000000000000}"/>
  <bookViews>
    <workbookView xWindow="-108" yWindow="-108" windowWidth="23256" windowHeight="12456" activeTab="2" xr2:uid="{00000000-000D-0000-FFFF-FFFF00000000}"/>
  </bookViews>
  <sheets>
    <sheet name="pivot Table" sheetId="3" r:id="rId1"/>
    <sheet name="Cleaned Data" sheetId="1" r:id="rId2"/>
    <sheet name="Report" sheetId="2" r:id="rId3"/>
  </sheets>
  <definedNames>
    <definedName name="_xlnm._FilterDatabase" localSheetId="1" hidden="1">'Cleaned Data'!$L$1:$L$201</definedName>
    <definedName name="Slicer_Month">#N/A</definedName>
  </definedNames>
  <calcPr calcId="191029"/>
  <pivotCaches>
    <pivotCache cacheId="4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3"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 i="1"/>
  <c r="H199" i="1"/>
  <c r="H198" i="1"/>
  <c r="H197" i="1"/>
  <c r="H184" i="1"/>
  <c r="H164" i="1"/>
  <c r="H147" i="1"/>
  <c r="H140" i="1"/>
  <c r="H136" i="1"/>
  <c r="H135" i="1"/>
  <c r="H133" i="1"/>
  <c r="H132" i="1"/>
  <c r="H107" i="1"/>
  <c r="H102" i="1"/>
  <c r="H74" i="1"/>
  <c r="H66" i="1"/>
  <c r="H60" i="1"/>
  <c r="H36" i="1"/>
  <c r="H35" i="1"/>
  <c r="H31" i="1"/>
  <c r="H27" i="1"/>
  <c r="H17" i="1"/>
  <c r="H11" i="1"/>
  <c r="H7" i="1"/>
</calcChain>
</file>

<file path=xl/sharedStrings.xml><?xml version="1.0" encoding="utf-8"?>
<sst xmlns="http://schemas.openxmlformats.org/spreadsheetml/2006/main" count="1412" uniqueCount="99">
  <si>
    <t>Date</t>
  </si>
  <si>
    <t>Order_ID</t>
  </si>
  <si>
    <t>Product</t>
  </si>
  <si>
    <t>Category</t>
  </si>
  <si>
    <t>Sub_Category</t>
  </si>
  <si>
    <t>Quantity</t>
  </si>
  <si>
    <t>Rate</t>
  </si>
  <si>
    <t>Amount</t>
  </si>
  <si>
    <t>Region</t>
  </si>
  <si>
    <t>Country</t>
  </si>
  <si>
    <t>Payment_Type</t>
  </si>
  <si>
    <t>16-02-2026</t>
  </si>
  <si>
    <t>Sofa</t>
  </si>
  <si>
    <t>Furniture</t>
  </si>
  <si>
    <t>Home</t>
  </si>
  <si>
    <t>East</t>
  </si>
  <si>
    <t>UAE</t>
  </si>
  <si>
    <t>Cash</t>
  </si>
  <si>
    <t>25-01-2026</t>
  </si>
  <si>
    <t>Bed</t>
  </si>
  <si>
    <t>North</t>
  </si>
  <si>
    <t>India</t>
  </si>
  <si>
    <t>05-02-2026</t>
  </si>
  <si>
    <t>Pen</t>
  </si>
  <si>
    <t>Office Supplies</t>
  </si>
  <si>
    <t>Stationery</t>
  </si>
  <si>
    <t>Online</t>
  </si>
  <si>
    <t>20-01-2026</t>
  </si>
  <si>
    <t>UK</t>
  </si>
  <si>
    <t>16-01-2026</t>
  </si>
  <si>
    <t>Chair</t>
  </si>
  <si>
    <t>Office</t>
  </si>
  <si>
    <t>South</t>
  </si>
  <si>
    <t>24-02-2026</t>
  </si>
  <si>
    <t>Laptop</t>
  </si>
  <si>
    <t>Electronics</t>
  </si>
  <si>
    <t>Computers</t>
  </si>
  <si>
    <t>22-01-2026</t>
  </si>
  <si>
    <t>West</t>
  </si>
  <si>
    <t>11-01-2026</t>
  </si>
  <si>
    <t>Printer</t>
  </si>
  <si>
    <t>Machines</t>
  </si>
  <si>
    <t>18-01-2026</t>
  </si>
  <si>
    <t>26-02-2026</t>
  </si>
  <si>
    <t>Mobile</t>
  </si>
  <si>
    <t>Phones</t>
  </si>
  <si>
    <t>15-01-2026</t>
  </si>
  <si>
    <t>06-01-2026</t>
  </si>
  <si>
    <t>USA</t>
  </si>
  <si>
    <t>05-01-2026</t>
  </si>
  <si>
    <t>08-01-2026</t>
  </si>
  <si>
    <t>12-01-2026</t>
  </si>
  <si>
    <t>07-02-2026</t>
  </si>
  <si>
    <t>23-02-2026</t>
  </si>
  <si>
    <t>20-02-2026</t>
  </si>
  <si>
    <t>Table</t>
  </si>
  <si>
    <t>17-01-2026</t>
  </si>
  <si>
    <t>19-02-2026</t>
  </si>
  <si>
    <t>22-02-2026</t>
  </si>
  <si>
    <t>09-01-2026</t>
  </si>
  <si>
    <t>08-02-2026</t>
  </si>
  <si>
    <t>01-03-2026</t>
  </si>
  <si>
    <t>09-02-2026</t>
  </si>
  <si>
    <t>03-01-2026</t>
  </si>
  <si>
    <t>10-01-2026</t>
  </si>
  <si>
    <t>31-01-2026</t>
  </si>
  <si>
    <t>02-01-2026</t>
  </si>
  <si>
    <t>11-02-2026</t>
  </si>
  <si>
    <t>21-01-2026</t>
  </si>
  <si>
    <t>23-01-2026</t>
  </si>
  <si>
    <t>12-02-2026</t>
  </si>
  <si>
    <t>27-01-2026</t>
  </si>
  <si>
    <t>14-01-2026</t>
  </si>
  <si>
    <t>24-01-2026</t>
  </si>
  <si>
    <t>29-01-2026</t>
  </si>
  <si>
    <t>01-01-2026</t>
  </si>
  <si>
    <t>15-02-2026</t>
  </si>
  <si>
    <t>01-02-2026</t>
  </si>
  <si>
    <t>13-01-2026</t>
  </si>
  <si>
    <t>02-03-2026</t>
  </si>
  <si>
    <t>21-02-2026</t>
  </si>
  <si>
    <t>18-02-2026</t>
  </si>
  <si>
    <t>13-02-2026</t>
  </si>
  <si>
    <t>04-01-2026</t>
  </si>
  <si>
    <t>27-02-2026</t>
  </si>
  <si>
    <t>06-02-2026</t>
  </si>
  <si>
    <t>30-01-2026</t>
  </si>
  <si>
    <t>28-01-2026</t>
  </si>
  <si>
    <t>03-02-2026</t>
  </si>
  <si>
    <t>19-01-2026</t>
  </si>
  <si>
    <t>07-01-2026</t>
  </si>
  <si>
    <t>04-02-2026</t>
  </si>
  <si>
    <t>14-02-2026</t>
  </si>
  <si>
    <t>25-02-2026</t>
  </si>
  <si>
    <t>17-02-2026</t>
  </si>
  <si>
    <t>28-02-2026</t>
  </si>
  <si>
    <t>Month</t>
  </si>
  <si>
    <t>Row Labels</t>
  </si>
  <si>
    <t>Sum of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</si>
</sst>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Retail Sales MIS Dashboard.xlsx]pivot Table!PivotTable2</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Sub</a:t>
            </a:r>
            <a:r>
              <a:rPr lang="en-US" baseline="0"/>
              <a:t> Category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Table'!$E$3</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Table'!$D$4:$D$9</c:f>
              <c:strCache>
                <c:ptCount val="6"/>
                <c:pt idx="0">
                  <c:v>Computers</c:v>
                </c:pt>
                <c:pt idx="1">
                  <c:v>Home</c:v>
                </c:pt>
                <c:pt idx="2">
                  <c:v>Office</c:v>
                </c:pt>
                <c:pt idx="3">
                  <c:v>Phones</c:v>
                </c:pt>
                <c:pt idx="4">
                  <c:v>Machines</c:v>
                </c:pt>
                <c:pt idx="5">
                  <c:v>Stationery</c:v>
                </c:pt>
              </c:strCache>
            </c:strRef>
          </c:cat>
          <c:val>
            <c:numRef>
              <c:f>'pivot Table'!$E$4:$E$9</c:f>
              <c:numCache>
                <c:formatCode>General</c:formatCode>
                <c:ptCount val="6"/>
                <c:pt idx="0">
                  <c:v>1718000</c:v>
                </c:pt>
                <c:pt idx="1">
                  <c:v>1303300</c:v>
                </c:pt>
                <c:pt idx="2">
                  <c:v>1031200</c:v>
                </c:pt>
                <c:pt idx="3">
                  <c:v>652400</c:v>
                </c:pt>
                <c:pt idx="4">
                  <c:v>575900</c:v>
                </c:pt>
                <c:pt idx="5">
                  <c:v>435500</c:v>
                </c:pt>
              </c:numCache>
            </c:numRef>
          </c:val>
          <c:extLst>
            <c:ext xmlns:c16="http://schemas.microsoft.com/office/drawing/2014/chart" uri="{C3380CC4-5D6E-409C-BE32-E72D297353CC}">
              <c16:uniqueId val="{00000000-947B-4643-AB73-0CEF6A2EBF22}"/>
            </c:ext>
          </c:extLst>
        </c:ser>
        <c:dLbls>
          <c:showLegendKey val="0"/>
          <c:showVal val="1"/>
          <c:showCatName val="0"/>
          <c:showSerName val="0"/>
          <c:showPercent val="0"/>
          <c:showBubbleSize val="0"/>
        </c:dLbls>
        <c:gapWidth val="150"/>
        <c:shape val="box"/>
        <c:axId val="620126224"/>
        <c:axId val="620123344"/>
        <c:axId val="0"/>
      </c:bar3DChart>
      <c:catAx>
        <c:axId val="62012622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0123344"/>
        <c:crosses val="autoZero"/>
        <c:auto val="1"/>
        <c:lblAlgn val="ctr"/>
        <c:lblOffset val="100"/>
        <c:noMultiLvlLbl val="0"/>
      </c:catAx>
      <c:valAx>
        <c:axId val="620123344"/>
        <c:scaling>
          <c:orientation val="minMax"/>
        </c:scaling>
        <c:delete val="1"/>
        <c:axPos val="b"/>
        <c:numFmt formatCode="General" sourceLinked="1"/>
        <c:majorTickMark val="none"/>
        <c:minorTickMark val="none"/>
        <c:tickLblPos val="nextTo"/>
        <c:crossAx val="62012622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Retail Sales MIS Dashboard.xlsx]pivot Table!PivotTable3</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Country</a:t>
            </a:r>
            <a:r>
              <a:rPr lang="en-US" baseline="0"/>
              <a:t>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5396825396825398"/>
              <c:y val="0.14756930774278215"/>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4"/>
          </a:solidFill>
          <a:ln w="19050">
            <a:solidFill>
              <a:schemeClr val="lt1"/>
            </a:solidFill>
          </a:ln>
          <a:effectLst/>
        </c:spPr>
        <c:dLbl>
          <c:idx val="0"/>
          <c:layout>
            <c:manualLayout>
              <c:x val="0.12619047619047619"/>
              <c:y val="0.18229166666666666"/>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3"/>
          </a:solidFill>
          <a:ln w="19050">
            <a:solidFill>
              <a:schemeClr val="lt1"/>
            </a:solidFill>
          </a:ln>
          <a:effectLst/>
        </c:spPr>
        <c:dLbl>
          <c:idx val="0"/>
          <c:layout>
            <c:manualLayout>
              <c:x val="0.14761904761904765"/>
              <c:y val="-9.7222358923884616E-2"/>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2"/>
          </a:solidFill>
          <a:ln w="19050">
            <a:solidFill>
              <a:schemeClr val="lt1"/>
            </a:solidFill>
          </a:ln>
          <a:effectLst/>
        </c:spPr>
        <c:dLbl>
          <c:idx val="0"/>
          <c:layout>
            <c:manualLayout>
              <c:x val="-9.4444444444444442E-2"/>
              <c:y val="-0.19907398293963263"/>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'pivot Table'!$H$3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8638-450C-9D06-EE4F24FE0C9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8638-450C-9D06-EE4F24FE0C9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8638-450C-9D06-EE4F24FE0C9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8638-450C-9D06-EE4F24FE0C92}"/>
              </c:ext>
            </c:extLst>
          </c:dPt>
          <c:dLbls>
            <c:dLbl>
              <c:idx val="0"/>
              <c:layout>
                <c:manualLayout>
                  <c:x val="-0.15396825396825398"/>
                  <c:y val="0.1475693077427821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8638-450C-9D06-EE4F24FE0C92}"/>
                </c:ext>
              </c:extLst>
            </c:dLbl>
            <c:dLbl>
              <c:idx val="1"/>
              <c:layout>
                <c:manualLayout>
                  <c:x val="-9.4444444444444442E-2"/>
                  <c:y val="-0.19907398293963263"/>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638-450C-9D06-EE4F24FE0C92}"/>
                </c:ext>
              </c:extLst>
            </c:dLbl>
            <c:dLbl>
              <c:idx val="2"/>
              <c:layout>
                <c:manualLayout>
                  <c:x val="0.14761904761904765"/>
                  <c:y val="-9.7222358923884616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8638-450C-9D06-EE4F24FE0C92}"/>
                </c:ext>
              </c:extLst>
            </c:dLbl>
            <c:dLbl>
              <c:idx val="3"/>
              <c:layout>
                <c:manualLayout>
                  <c:x val="0.12619047619047619"/>
                  <c:y val="0.18229166666666666"/>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638-450C-9D06-EE4F24FE0C92}"/>
                </c:ext>
              </c:extLst>
            </c:dLbl>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Table'!$G$4:$G$7</c:f>
              <c:strCache>
                <c:ptCount val="4"/>
                <c:pt idx="0">
                  <c:v>USA</c:v>
                </c:pt>
                <c:pt idx="1">
                  <c:v>UAE</c:v>
                </c:pt>
                <c:pt idx="2">
                  <c:v>India</c:v>
                </c:pt>
                <c:pt idx="3">
                  <c:v>UK</c:v>
                </c:pt>
              </c:strCache>
            </c:strRef>
          </c:cat>
          <c:val>
            <c:numRef>
              <c:f>'pivot Table'!$H$4:$H$7</c:f>
              <c:numCache>
                <c:formatCode>General</c:formatCode>
                <c:ptCount val="4"/>
                <c:pt idx="0">
                  <c:v>1738600</c:v>
                </c:pt>
                <c:pt idx="1">
                  <c:v>1493000</c:v>
                </c:pt>
                <c:pt idx="2">
                  <c:v>1366000</c:v>
                </c:pt>
                <c:pt idx="3">
                  <c:v>1118700</c:v>
                </c:pt>
              </c:numCache>
            </c:numRef>
          </c:val>
          <c:extLst>
            <c:ext xmlns:c16="http://schemas.microsoft.com/office/drawing/2014/chart" uri="{C3380CC4-5D6E-409C-BE32-E72D297353CC}">
              <c16:uniqueId val="{00000000-8638-450C-9D06-EE4F24FE0C92}"/>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Retail Sales MIS Dashboard.xlsx]pivot Table!PivotTable5</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Table'!$J$9:$J$16</c:f>
              <c:strCache>
                <c:ptCount val="8"/>
                <c:pt idx="0">
                  <c:v>Laptop</c:v>
                </c:pt>
                <c:pt idx="1">
                  <c:v>Table</c:v>
                </c:pt>
                <c:pt idx="2">
                  <c:v>Bed</c:v>
                </c:pt>
                <c:pt idx="3">
                  <c:v>Mobile</c:v>
                </c:pt>
                <c:pt idx="4">
                  <c:v>Sofa</c:v>
                </c:pt>
                <c:pt idx="5">
                  <c:v>Printer</c:v>
                </c:pt>
                <c:pt idx="6">
                  <c:v>Pen</c:v>
                </c:pt>
                <c:pt idx="7">
                  <c:v>Chair</c:v>
                </c:pt>
              </c:strCache>
            </c:strRef>
          </c:cat>
          <c:val>
            <c:numRef>
              <c:f>'pivot Table'!$K$9:$K$16</c:f>
              <c:numCache>
                <c:formatCode>General</c:formatCode>
                <c:ptCount val="8"/>
                <c:pt idx="0">
                  <c:v>1718000</c:v>
                </c:pt>
                <c:pt idx="1">
                  <c:v>754400</c:v>
                </c:pt>
                <c:pt idx="2">
                  <c:v>685600</c:v>
                </c:pt>
                <c:pt idx="3">
                  <c:v>652400</c:v>
                </c:pt>
                <c:pt idx="4">
                  <c:v>617700</c:v>
                </c:pt>
                <c:pt idx="5">
                  <c:v>575900</c:v>
                </c:pt>
                <c:pt idx="6">
                  <c:v>435500</c:v>
                </c:pt>
                <c:pt idx="7">
                  <c:v>276800</c:v>
                </c:pt>
              </c:numCache>
            </c:numRef>
          </c:val>
          <c:extLst>
            <c:ext xmlns:c16="http://schemas.microsoft.com/office/drawing/2014/chart" uri="{C3380CC4-5D6E-409C-BE32-E72D297353CC}">
              <c16:uniqueId val="{00000000-A5F4-4FCF-9EAD-0D2386EC3E39}"/>
            </c:ext>
          </c:extLst>
        </c:ser>
        <c:dLbls>
          <c:dLblPos val="outEnd"/>
          <c:showLegendKey val="0"/>
          <c:showVal val="1"/>
          <c:showCatName val="0"/>
          <c:showSerName val="0"/>
          <c:showPercent val="0"/>
          <c:showBubbleSize val="0"/>
        </c:dLbls>
        <c:gapWidth val="219"/>
        <c:overlap val="-27"/>
        <c:axId val="1098232256"/>
        <c:axId val="1098232736"/>
      </c:barChart>
      <c:catAx>
        <c:axId val="10982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8232736"/>
        <c:crosses val="autoZero"/>
        <c:auto val="1"/>
        <c:lblAlgn val="ctr"/>
        <c:lblOffset val="100"/>
        <c:noMultiLvlLbl val="0"/>
      </c:catAx>
      <c:valAx>
        <c:axId val="1098232736"/>
        <c:scaling>
          <c:orientation val="minMax"/>
        </c:scaling>
        <c:delete val="1"/>
        <c:axPos val="l"/>
        <c:numFmt formatCode="General" sourceLinked="1"/>
        <c:majorTickMark val="none"/>
        <c:minorTickMark val="none"/>
        <c:tickLblPos val="nextTo"/>
        <c:crossAx val="1098232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Retail Sales MIS Dashboard.xlsx]pivot Table!PivotTable6</c:name>
    <c:fmtId val="3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6451000853808937"/>
                  <c:h val="0.35140235569727341"/>
                </c:manualLayout>
              </c15:layout>
            </c:ext>
          </c:extLst>
        </c:dLbl>
      </c:pivotFmt>
    </c:pivotFmts>
    <c:plotArea>
      <c:layout>
        <c:manualLayout>
          <c:layoutTarget val="inner"/>
          <c:xMode val="edge"/>
          <c:yMode val="edge"/>
          <c:x val="0"/>
          <c:y val="0.19407713498622589"/>
          <c:w val="1"/>
          <c:h val="0.80592286501377408"/>
        </c:manualLayout>
      </c:layout>
      <c:barChart>
        <c:barDir val="col"/>
        <c:grouping val="clustered"/>
        <c:varyColors val="0"/>
        <c:ser>
          <c:idx val="0"/>
          <c:order val="0"/>
          <c:tx>
            <c:strRef>
              <c:f>'pivot Table'!$J$18</c:f>
              <c:strCache>
                <c:ptCount val="1"/>
                <c:pt idx="0">
                  <c:v>Total</c:v>
                </c:pt>
              </c:strCache>
            </c:strRef>
          </c:tx>
          <c:spPr>
            <a:solidFill>
              <a:schemeClr val="accent1"/>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6451000853808937"/>
                      <c:h val="0.35140235569727341"/>
                    </c:manualLayout>
                  </c15:layout>
                </c:ext>
                <c:ext xmlns:c16="http://schemas.microsoft.com/office/drawing/2014/chart" uri="{C3380CC4-5D6E-409C-BE32-E72D297353CC}">
                  <c16:uniqueId val="{00000002-AB4B-48CD-A2F2-8835A203372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Table'!$J$19</c:f>
              <c:strCache>
                <c:ptCount val="1"/>
                <c:pt idx="0">
                  <c:v>Total</c:v>
                </c:pt>
              </c:strCache>
            </c:strRef>
          </c:cat>
          <c:val>
            <c:numRef>
              <c:f>'pivot Table'!$J$19</c:f>
              <c:numCache>
                <c:formatCode>General</c:formatCode>
                <c:ptCount val="1"/>
                <c:pt idx="0">
                  <c:v>5716300</c:v>
                </c:pt>
              </c:numCache>
            </c:numRef>
          </c:val>
          <c:extLst>
            <c:ext xmlns:c16="http://schemas.microsoft.com/office/drawing/2014/chart" uri="{C3380CC4-5D6E-409C-BE32-E72D297353CC}">
              <c16:uniqueId val="{00000000-AB4B-48CD-A2F2-8835A2033726}"/>
            </c:ext>
          </c:extLst>
        </c:ser>
        <c:dLbls>
          <c:dLblPos val="inEnd"/>
          <c:showLegendKey val="0"/>
          <c:showVal val="1"/>
          <c:showCatName val="0"/>
          <c:showSerName val="0"/>
          <c:showPercent val="0"/>
          <c:showBubbleSize val="0"/>
        </c:dLbls>
        <c:gapWidth val="48"/>
        <c:overlap val="-28"/>
        <c:axId val="1096729184"/>
        <c:axId val="1096741184"/>
      </c:barChart>
      <c:catAx>
        <c:axId val="1096729184"/>
        <c:scaling>
          <c:orientation val="minMax"/>
        </c:scaling>
        <c:delete val="1"/>
        <c:axPos val="b"/>
        <c:numFmt formatCode="General" sourceLinked="1"/>
        <c:majorTickMark val="none"/>
        <c:minorTickMark val="none"/>
        <c:tickLblPos val="nextTo"/>
        <c:crossAx val="1096741184"/>
        <c:crosses val="autoZero"/>
        <c:auto val="1"/>
        <c:lblAlgn val="ctr"/>
        <c:lblOffset val="100"/>
        <c:noMultiLvlLbl val="0"/>
      </c:catAx>
      <c:valAx>
        <c:axId val="1096741184"/>
        <c:scaling>
          <c:orientation val="minMax"/>
        </c:scaling>
        <c:delete val="1"/>
        <c:axPos val="l"/>
        <c:numFmt formatCode="General" sourceLinked="1"/>
        <c:majorTickMark val="none"/>
        <c:minorTickMark val="none"/>
        <c:tickLblPos val="nextTo"/>
        <c:crossAx val="1096729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Retail Sales MIS Dashboard.xlsx]pivot Table!PivotTable7</c:name>
    <c:fmtId val="3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Wise Sales</a:t>
            </a:r>
          </a:p>
        </c:rich>
      </c:tx>
      <c:layout>
        <c:manualLayout>
          <c:xMode val="edge"/>
          <c:yMode val="edge"/>
          <c:x val="0.20464480874316943"/>
          <c:y val="1.436781609195402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7.8740157480322695E-5"/>
          <c:y val="0.15804597701149425"/>
          <c:w val="0.64043715846994531"/>
          <c:h val="0.84195402298850575"/>
        </c:manualLayout>
      </c:layout>
      <c:doughnutChart>
        <c:varyColors val="1"/>
        <c:ser>
          <c:idx val="0"/>
          <c:order val="0"/>
          <c:tx>
            <c:strRef>
              <c:f>'pivot Table'!$L$18</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Table'!$K$19:$K$22</c:f>
              <c:strCache>
                <c:ptCount val="4"/>
                <c:pt idx="0">
                  <c:v>East</c:v>
                </c:pt>
                <c:pt idx="1">
                  <c:v>North</c:v>
                </c:pt>
                <c:pt idx="2">
                  <c:v>South</c:v>
                </c:pt>
                <c:pt idx="3">
                  <c:v>West</c:v>
                </c:pt>
              </c:strCache>
            </c:strRef>
          </c:cat>
          <c:val>
            <c:numRef>
              <c:f>'pivot Table'!$L$19:$L$22</c:f>
              <c:numCache>
                <c:formatCode>General</c:formatCode>
                <c:ptCount val="4"/>
                <c:pt idx="0">
                  <c:v>1253800</c:v>
                </c:pt>
                <c:pt idx="1">
                  <c:v>1483800</c:v>
                </c:pt>
                <c:pt idx="2">
                  <c:v>1640500</c:v>
                </c:pt>
                <c:pt idx="3">
                  <c:v>1338200</c:v>
                </c:pt>
              </c:numCache>
            </c:numRef>
          </c:val>
          <c:extLst>
            <c:ext xmlns:c16="http://schemas.microsoft.com/office/drawing/2014/chart" uri="{C3380CC4-5D6E-409C-BE32-E72D297353CC}">
              <c16:uniqueId val="{00000000-C10D-4F55-906C-A3EEE1F7C53F}"/>
            </c:ext>
          </c:extLst>
        </c:ser>
        <c:dLbls>
          <c:showLegendKey val="0"/>
          <c:showVal val="1"/>
          <c:showCatName val="0"/>
          <c:showSerName val="0"/>
          <c:showPercent val="0"/>
          <c:showBubbleSize val="0"/>
          <c:showLeaderLines val="1"/>
        </c:dLbls>
        <c:firstSliceAng val="3"/>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Retail Sales MIS Dashboard.xlsx]pivot Table!PivotTable4</c:name>
    <c:fmtId val="3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5543859649122802"/>
                  <c:h val="0.1694017094017094"/>
                </c:manualLayout>
              </c15:layout>
            </c:ext>
          </c:extLst>
        </c:dLbl>
      </c:pivotFmt>
    </c:pivotFmts>
    <c:plotArea>
      <c:layout/>
      <c:barChart>
        <c:barDir val="col"/>
        <c:grouping val="clustered"/>
        <c:varyColors val="0"/>
        <c:ser>
          <c:idx val="0"/>
          <c:order val="0"/>
          <c:tx>
            <c:strRef>
              <c:f>'pivot Table'!$K$3</c:f>
              <c:strCache>
                <c:ptCount val="1"/>
                <c:pt idx="0">
                  <c:v>Total</c:v>
                </c:pt>
              </c:strCache>
            </c:strRef>
          </c:tx>
          <c:spPr>
            <a:solidFill>
              <a:schemeClr val="accent1"/>
            </a:solidFill>
            <a:ln>
              <a:noFill/>
            </a:ln>
            <a:effectLst/>
          </c:spPr>
          <c:invertIfNegative val="0"/>
          <c:dLbls>
            <c:dLbl>
              <c:idx val="1"/>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5543859649122802"/>
                      <c:h val="0.1694017094017094"/>
                    </c:manualLayout>
                  </c15:layout>
                </c:ext>
                <c:ext xmlns:c16="http://schemas.microsoft.com/office/drawing/2014/chart" uri="{C3380CC4-5D6E-409C-BE32-E72D297353CC}">
                  <c16:uniqueId val="{00000002-4E8F-4B29-94EF-FB4DF19C342F}"/>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Table'!$J$4:$J$5</c:f>
              <c:strCache>
                <c:ptCount val="2"/>
                <c:pt idx="0">
                  <c:v>Cash</c:v>
                </c:pt>
                <c:pt idx="1">
                  <c:v>Online</c:v>
                </c:pt>
              </c:strCache>
            </c:strRef>
          </c:cat>
          <c:val>
            <c:numRef>
              <c:f>'pivot Table'!$K$4:$K$5</c:f>
              <c:numCache>
                <c:formatCode>General</c:formatCode>
                <c:ptCount val="2"/>
                <c:pt idx="0">
                  <c:v>3117100</c:v>
                </c:pt>
                <c:pt idx="1">
                  <c:v>2599200</c:v>
                </c:pt>
              </c:numCache>
            </c:numRef>
          </c:val>
          <c:extLst>
            <c:ext xmlns:c16="http://schemas.microsoft.com/office/drawing/2014/chart" uri="{C3380CC4-5D6E-409C-BE32-E72D297353CC}">
              <c16:uniqueId val="{00000000-4E8F-4B29-94EF-FB4DF19C342F}"/>
            </c:ext>
          </c:extLst>
        </c:ser>
        <c:dLbls>
          <c:dLblPos val="inEnd"/>
          <c:showLegendKey val="0"/>
          <c:showVal val="1"/>
          <c:showCatName val="0"/>
          <c:showSerName val="0"/>
          <c:showPercent val="0"/>
          <c:showBubbleSize val="0"/>
        </c:dLbls>
        <c:gapWidth val="32"/>
        <c:axId val="984703184"/>
        <c:axId val="1240707712"/>
      </c:barChart>
      <c:catAx>
        <c:axId val="98470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707712"/>
        <c:crosses val="autoZero"/>
        <c:auto val="1"/>
        <c:lblAlgn val="ctr"/>
        <c:lblOffset val="100"/>
        <c:noMultiLvlLbl val="0"/>
      </c:catAx>
      <c:valAx>
        <c:axId val="1240707712"/>
        <c:scaling>
          <c:orientation val="minMax"/>
        </c:scaling>
        <c:delete val="1"/>
        <c:axPos val="l"/>
        <c:numFmt formatCode="General" sourceLinked="1"/>
        <c:majorTickMark val="none"/>
        <c:minorTickMark val="none"/>
        <c:tickLblPos val="nextTo"/>
        <c:crossAx val="984703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Retail Sales MIS Dashboard.xlsx]pivot Table!PivotTable2</c:name>
    <c:fmtId val="2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Table'!$D$4:$D$9</c:f>
              <c:strCache>
                <c:ptCount val="6"/>
                <c:pt idx="0">
                  <c:v>Computers</c:v>
                </c:pt>
                <c:pt idx="1">
                  <c:v>Home</c:v>
                </c:pt>
                <c:pt idx="2">
                  <c:v>Office</c:v>
                </c:pt>
                <c:pt idx="3">
                  <c:v>Phones</c:v>
                </c:pt>
                <c:pt idx="4">
                  <c:v>Machines</c:v>
                </c:pt>
                <c:pt idx="5">
                  <c:v>Stationery</c:v>
                </c:pt>
              </c:strCache>
            </c:strRef>
          </c:cat>
          <c:val>
            <c:numRef>
              <c:f>'pivot Table'!$E$4:$E$9</c:f>
              <c:numCache>
                <c:formatCode>General</c:formatCode>
                <c:ptCount val="6"/>
                <c:pt idx="0">
                  <c:v>1718000</c:v>
                </c:pt>
                <c:pt idx="1">
                  <c:v>1303300</c:v>
                </c:pt>
                <c:pt idx="2">
                  <c:v>1031200</c:v>
                </c:pt>
                <c:pt idx="3">
                  <c:v>652400</c:v>
                </c:pt>
                <c:pt idx="4">
                  <c:v>575900</c:v>
                </c:pt>
                <c:pt idx="5">
                  <c:v>435500</c:v>
                </c:pt>
              </c:numCache>
            </c:numRef>
          </c:val>
          <c:extLst>
            <c:ext xmlns:c16="http://schemas.microsoft.com/office/drawing/2014/chart" uri="{C3380CC4-5D6E-409C-BE32-E72D297353CC}">
              <c16:uniqueId val="{00000000-AD99-4113-8301-64F583E07123}"/>
            </c:ext>
          </c:extLst>
        </c:ser>
        <c:dLbls>
          <c:dLblPos val="outEnd"/>
          <c:showLegendKey val="0"/>
          <c:showVal val="1"/>
          <c:showCatName val="0"/>
          <c:showSerName val="0"/>
          <c:showPercent val="0"/>
          <c:showBubbleSize val="0"/>
        </c:dLbls>
        <c:gapWidth val="219"/>
        <c:axId val="1181708928"/>
        <c:axId val="1181706048"/>
      </c:barChart>
      <c:catAx>
        <c:axId val="1181708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706048"/>
        <c:crosses val="autoZero"/>
        <c:auto val="1"/>
        <c:lblAlgn val="ctr"/>
        <c:lblOffset val="100"/>
        <c:noMultiLvlLbl val="0"/>
      </c:catAx>
      <c:valAx>
        <c:axId val="1181706048"/>
        <c:scaling>
          <c:orientation val="minMax"/>
        </c:scaling>
        <c:delete val="1"/>
        <c:axPos val="b"/>
        <c:numFmt formatCode="General" sourceLinked="1"/>
        <c:majorTickMark val="none"/>
        <c:minorTickMark val="none"/>
        <c:tickLblPos val="nextTo"/>
        <c:crossAx val="1181708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Retail Sales MIS Dashboard.xlsx]pivot Table!PivotTable1</c:name>
    <c:fmtId val="2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Table'!$A$4:$A$6</c:f>
              <c:strCache>
                <c:ptCount val="3"/>
                <c:pt idx="0">
                  <c:v>Electronics</c:v>
                </c:pt>
                <c:pt idx="1">
                  <c:v>Furniture</c:v>
                </c:pt>
                <c:pt idx="2">
                  <c:v>Office Supplies</c:v>
                </c:pt>
              </c:strCache>
            </c:strRef>
          </c:cat>
          <c:val>
            <c:numRef>
              <c:f>'pivot Table'!$B$4:$B$6</c:f>
              <c:numCache>
                <c:formatCode>General</c:formatCode>
                <c:ptCount val="3"/>
                <c:pt idx="0">
                  <c:v>2370400</c:v>
                </c:pt>
                <c:pt idx="1">
                  <c:v>2334500</c:v>
                </c:pt>
                <c:pt idx="2">
                  <c:v>1011400</c:v>
                </c:pt>
              </c:numCache>
            </c:numRef>
          </c:val>
          <c:extLst>
            <c:ext xmlns:c16="http://schemas.microsoft.com/office/drawing/2014/chart" uri="{C3380CC4-5D6E-409C-BE32-E72D297353CC}">
              <c16:uniqueId val="{00000000-280B-440B-85A0-C3E2455BDFE9}"/>
            </c:ext>
          </c:extLst>
        </c:ser>
        <c:dLbls>
          <c:dLblPos val="inEnd"/>
          <c:showLegendKey val="0"/>
          <c:showVal val="1"/>
          <c:showCatName val="0"/>
          <c:showSerName val="0"/>
          <c:showPercent val="0"/>
          <c:showBubbleSize val="0"/>
        </c:dLbls>
        <c:gapWidth val="219"/>
        <c:axId val="1094963904"/>
        <c:axId val="1334454000"/>
      </c:barChart>
      <c:catAx>
        <c:axId val="1094963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454000"/>
        <c:crosses val="autoZero"/>
        <c:auto val="1"/>
        <c:lblAlgn val="ctr"/>
        <c:lblOffset val="100"/>
        <c:noMultiLvlLbl val="0"/>
      </c:catAx>
      <c:valAx>
        <c:axId val="1334454000"/>
        <c:scaling>
          <c:orientation val="minMax"/>
        </c:scaling>
        <c:delete val="1"/>
        <c:axPos val="b"/>
        <c:numFmt formatCode="General" sourceLinked="1"/>
        <c:majorTickMark val="none"/>
        <c:minorTickMark val="none"/>
        <c:tickLblPos val="nextTo"/>
        <c:crossAx val="1094963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Retail Sales MIS Dashboard.xlsx]pivot Table!PivotTable2</c:name>
    <c:fmtId val="18"/>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US" sz="1600" b="1">
                <a:solidFill>
                  <a:sysClr val="windowText" lastClr="000000"/>
                </a:solidFill>
              </a:rPr>
              <a:t>Sub</a:t>
            </a:r>
            <a:r>
              <a:rPr lang="en-US" sz="1600" b="1" baseline="0">
                <a:solidFill>
                  <a:sysClr val="windowText" lastClr="000000"/>
                </a:solidFill>
              </a:rPr>
              <a:t> Category Wise Sales</a:t>
            </a:r>
            <a:endParaRPr lang="en-US" sz="1600" b="1">
              <a:solidFill>
                <a:sysClr val="windowText" lastClr="000000"/>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Table'!$D$4:$D$9</c:f>
              <c:strCache>
                <c:ptCount val="6"/>
                <c:pt idx="0">
                  <c:v>Computers</c:v>
                </c:pt>
                <c:pt idx="1">
                  <c:v>Home</c:v>
                </c:pt>
                <c:pt idx="2">
                  <c:v>Office</c:v>
                </c:pt>
                <c:pt idx="3">
                  <c:v>Phones</c:v>
                </c:pt>
                <c:pt idx="4">
                  <c:v>Machines</c:v>
                </c:pt>
                <c:pt idx="5">
                  <c:v>Stationery</c:v>
                </c:pt>
              </c:strCache>
            </c:strRef>
          </c:cat>
          <c:val>
            <c:numRef>
              <c:f>'pivot Table'!$E$4:$E$9</c:f>
              <c:numCache>
                <c:formatCode>General</c:formatCode>
                <c:ptCount val="6"/>
                <c:pt idx="0">
                  <c:v>1718000</c:v>
                </c:pt>
                <c:pt idx="1">
                  <c:v>1303300</c:v>
                </c:pt>
                <c:pt idx="2">
                  <c:v>1031200</c:v>
                </c:pt>
                <c:pt idx="3">
                  <c:v>652400</c:v>
                </c:pt>
                <c:pt idx="4">
                  <c:v>575900</c:v>
                </c:pt>
                <c:pt idx="5">
                  <c:v>435500</c:v>
                </c:pt>
              </c:numCache>
            </c:numRef>
          </c:val>
          <c:extLst>
            <c:ext xmlns:c16="http://schemas.microsoft.com/office/drawing/2014/chart" uri="{C3380CC4-5D6E-409C-BE32-E72D297353CC}">
              <c16:uniqueId val="{00000000-D78A-47A3-99B2-849E623E1576}"/>
            </c:ext>
          </c:extLst>
        </c:ser>
        <c:dLbls>
          <c:showLegendKey val="0"/>
          <c:showVal val="1"/>
          <c:showCatName val="0"/>
          <c:showSerName val="0"/>
          <c:showPercent val="0"/>
          <c:showBubbleSize val="0"/>
        </c:dLbls>
        <c:gapWidth val="22"/>
        <c:axId val="620126224"/>
        <c:axId val="620123344"/>
      </c:barChart>
      <c:catAx>
        <c:axId val="6201262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620123344"/>
        <c:crosses val="autoZero"/>
        <c:auto val="1"/>
        <c:lblAlgn val="ctr"/>
        <c:lblOffset val="100"/>
        <c:noMultiLvlLbl val="0"/>
      </c:catAx>
      <c:valAx>
        <c:axId val="620123344"/>
        <c:scaling>
          <c:orientation val="minMax"/>
        </c:scaling>
        <c:delete val="1"/>
        <c:axPos val="l"/>
        <c:numFmt formatCode="General" sourceLinked="1"/>
        <c:majorTickMark val="none"/>
        <c:minorTickMark val="none"/>
        <c:tickLblPos val="nextTo"/>
        <c:crossAx val="620126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Retail Sales MIS Dashboard.xlsx]pivot Table!PivotTable3</c:name>
    <c:fmtId val="23"/>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IN" b="1">
                <a:solidFill>
                  <a:sysClr val="windowText" lastClr="000000"/>
                </a:solidFill>
              </a:rPr>
              <a:t>Country</a:t>
            </a:r>
            <a:r>
              <a:rPr lang="en-IN" b="1" baseline="0">
                <a:solidFill>
                  <a:sysClr val="windowText" lastClr="000000"/>
                </a:solidFill>
              </a:rPr>
              <a:t> Wise Sales</a:t>
            </a:r>
            <a:endParaRPr lang="en-IN"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15396825396825398"/>
              <c:y val="0.14756930774278215"/>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4"/>
          </a:solidFill>
          <a:ln w="19050">
            <a:solidFill>
              <a:schemeClr val="lt1"/>
            </a:solidFill>
          </a:ln>
          <a:effectLst/>
        </c:spPr>
        <c:dLbl>
          <c:idx val="0"/>
          <c:layout>
            <c:manualLayout>
              <c:x val="0.12619047619047619"/>
              <c:y val="0.18229166666666666"/>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3"/>
          </a:solidFill>
          <a:ln w="19050">
            <a:solidFill>
              <a:schemeClr val="lt1"/>
            </a:solidFill>
          </a:ln>
          <a:effectLst/>
        </c:spPr>
        <c:dLbl>
          <c:idx val="0"/>
          <c:layout>
            <c:manualLayout>
              <c:x val="0.14761904761904765"/>
              <c:y val="-9.7222358923884616E-2"/>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2"/>
          </a:solidFill>
          <a:ln w="19050">
            <a:solidFill>
              <a:schemeClr val="lt1"/>
            </a:solidFill>
          </a:ln>
          <a:effectLst/>
        </c:spPr>
        <c:dLbl>
          <c:idx val="0"/>
          <c:layout>
            <c:manualLayout>
              <c:x val="-9.4444444444444442E-2"/>
              <c:y val="-0.19907398293963263"/>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dLbl>
          <c:idx val="0"/>
          <c:layout>
            <c:manualLayout>
              <c:x val="-0.15396825396825398"/>
              <c:y val="0.14756930774278215"/>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9.4444444444444442E-2"/>
              <c:y val="-0.19907398293963263"/>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0.14761904761904765"/>
              <c:y val="-9.7222358923884616E-2"/>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2619047619047619"/>
              <c:y val="0.18229166666666666"/>
            </c:manualLayout>
          </c:layout>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manualLayout>
          <c:layoutTarget val="inner"/>
          <c:xMode val="edge"/>
          <c:yMode val="edge"/>
          <c:x val="0.17769006843971999"/>
          <c:y val="0.1706513254108919"/>
          <c:w val="0.60040512569817872"/>
          <c:h val="0.7156122458862384"/>
        </c:manualLayout>
      </c:layout>
      <c:pieChart>
        <c:varyColors val="1"/>
        <c:ser>
          <c:idx val="0"/>
          <c:order val="0"/>
          <c:tx>
            <c:strRef>
              <c:f>'pivot Table'!$H$3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410-4031-8EF1-36DDF7C23FF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410-4031-8EF1-36DDF7C23FF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410-4031-8EF1-36DDF7C23FF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410-4031-8EF1-36DDF7C23FFB}"/>
              </c:ext>
            </c:extLst>
          </c:dPt>
          <c:dLbls>
            <c:spPr>
              <a:noFill/>
              <a:ln>
                <a:no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Table'!$G$4:$G$7</c:f>
              <c:strCache>
                <c:ptCount val="4"/>
                <c:pt idx="0">
                  <c:v>USA</c:v>
                </c:pt>
                <c:pt idx="1">
                  <c:v>UAE</c:v>
                </c:pt>
                <c:pt idx="2">
                  <c:v>India</c:v>
                </c:pt>
                <c:pt idx="3">
                  <c:v>UK</c:v>
                </c:pt>
              </c:strCache>
            </c:strRef>
          </c:cat>
          <c:val>
            <c:numRef>
              <c:f>'pivot Table'!$H$4:$H$7</c:f>
              <c:numCache>
                <c:formatCode>General</c:formatCode>
                <c:ptCount val="4"/>
                <c:pt idx="0">
                  <c:v>1738600</c:v>
                </c:pt>
                <c:pt idx="1">
                  <c:v>1493000</c:v>
                </c:pt>
                <c:pt idx="2">
                  <c:v>1366000</c:v>
                </c:pt>
                <c:pt idx="3">
                  <c:v>1118700</c:v>
                </c:pt>
              </c:numCache>
            </c:numRef>
          </c:val>
          <c:extLst>
            <c:ext xmlns:c16="http://schemas.microsoft.com/office/drawing/2014/chart" uri="{C3380CC4-5D6E-409C-BE32-E72D297353CC}">
              <c16:uniqueId val="{00000008-6410-4031-8EF1-36DDF7C23FFB}"/>
            </c:ext>
          </c:extLst>
        </c:ser>
        <c:dLbls>
          <c:dLblPos val="in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Retail Sales MIS Dashboard.xlsx]pivot Table!PivotTable5</c:name>
    <c:fmtId val="29"/>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solidFill>
                  <a:sysClr val="windowText" lastClr="000000"/>
                </a:solidFill>
              </a:rPr>
              <a:t>Product Wise Sales</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98507956775672"/>
          <c:y val="8.843398889640669E-2"/>
          <c:w val="0.71491081632813913"/>
          <c:h val="0.8869575143198728"/>
        </c:manualLayout>
      </c:layout>
      <c:barChart>
        <c:barDir val="bar"/>
        <c:grouping val="clustered"/>
        <c:varyColors val="0"/>
        <c:ser>
          <c:idx val="0"/>
          <c:order val="0"/>
          <c:tx>
            <c:strRef>
              <c:f>'pivot Table'!$K$8</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Table'!$J$9:$J$16</c:f>
              <c:strCache>
                <c:ptCount val="8"/>
                <c:pt idx="0">
                  <c:v>Laptop</c:v>
                </c:pt>
                <c:pt idx="1">
                  <c:v>Table</c:v>
                </c:pt>
                <c:pt idx="2">
                  <c:v>Bed</c:v>
                </c:pt>
                <c:pt idx="3">
                  <c:v>Mobile</c:v>
                </c:pt>
                <c:pt idx="4">
                  <c:v>Sofa</c:v>
                </c:pt>
                <c:pt idx="5">
                  <c:v>Printer</c:v>
                </c:pt>
                <c:pt idx="6">
                  <c:v>Pen</c:v>
                </c:pt>
                <c:pt idx="7">
                  <c:v>Chair</c:v>
                </c:pt>
              </c:strCache>
            </c:strRef>
          </c:cat>
          <c:val>
            <c:numRef>
              <c:f>'pivot Table'!$K$9:$K$16</c:f>
              <c:numCache>
                <c:formatCode>General</c:formatCode>
                <c:ptCount val="8"/>
                <c:pt idx="0">
                  <c:v>1718000</c:v>
                </c:pt>
                <c:pt idx="1">
                  <c:v>754400</c:v>
                </c:pt>
                <c:pt idx="2">
                  <c:v>685600</c:v>
                </c:pt>
                <c:pt idx="3">
                  <c:v>652400</c:v>
                </c:pt>
                <c:pt idx="4">
                  <c:v>617700</c:v>
                </c:pt>
                <c:pt idx="5">
                  <c:v>575900</c:v>
                </c:pt>
                <c:pt idx="6">
                  <c:v>435500</c:v>
                </c:pt>
                <c:pt idx="7">
                  <c:v>276800</c:v>
                </c:pt>
              </c:numCache>
            </c:numRef>
          </c:val>
          <c:extLst>
            <c:ext xmlns:c16="http://schemas.microsoft.com/office/drawing/2014/chart" uri="{C3380CC4-5D6E-409C-BE32-E72D297353CC}">
              <c16:uniqueId val="{00000000-150C-4D3A-A4EB-4A97955F2DCE}"/>
            </c:ext>
          </c:extLst>
        </c:ser>
        <c:dLbls>
          <c:dLblPos val="outEnd"/>
          <c:showLegendKey val="0"/>
          <c:showVal val="1"/>
          <c:showCatName val="0"/>
          <c:showSerName val="0"/>
          <c:showPercent val="0"/>
          <c:showBubbleSize val="0"/>
        </c:dLbls>
        <c:gapWidth val="49"/>
        <c:axId val="1098232256"/>
        <c:axId val="1098232736"/>
      </c:barChart>
      <c:catAx>
        <c:axId val="1098232256"/>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098232736"/>
        <c:crosses val="autoZero"/>
        <c:auto val="1"/>
        <c:lblAlgn val="ctr"/>
        <c:lblOffset val="100"/>
        <c:noMultiLvlLbl val="0"/>
      </c:catAx>
      <c:valAx>
        <c:axId val="1098232736"/>
        <c:scaling>
          <c:orientation val="minMax"/>
        </c:scaling>
        <c:delete val="1"/>
        <c:axPos val="b"/>
        <c:numFmt formatCode="General" sourceLinked="1"/>
        <c:majorTickMark val="none"/>
        <c:minorTickMark val="none"/>
        <c:tickLblPos val="nextTo"/>
        <c:crossAx val="10982322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Retail Sales MIS Dashboard.xlsx]pivot Table!PivotTable6</c:name>
    <c:fmtId val="34"/>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r>
              <a:rPr lang="en-IN" sz="1600" b="1">
                <a:solidFill>
                  <a:sysClr val="windowText" lastClr="000000"/>
                </a:solidFill>
              </a:rPr>
              <a:t>Total Sales</a:t>
            </a: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6451000853808937"/>
                  <c:h val="0.35140235569727341"/>
                </c:manualLayout>
              </c15:layout>
            </c:ext>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4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6451000853808937"/>
                  <c:h val="0.35140235569727341"/>
                </c:manualLayout>
              </c15:layout>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72948770292602316"/>
                  <c:h val="0.39051789285187227"/>
                </c:manualLayout>
              </c15:layout>
            </c:ext>
          </c:extLst>
        </c:dLbl>
      </c:pivotFmt>
    </c:pivotFmts>
    <c:plotArea>
      <c:layout>
        <c:manualLayout>
          <c:layoutTarget val="inner"/>
          <c:xMode val="edge"/>
          <c:yMode val="edge"/>
          <c:x val="8.6580086580086577E-2"/>
          <c:y val="0.39901737001975879"/>
          <c:w val="0.91341991341991347"/>
          <c:h val="0.59960364504998664"/>
        </c:manualLayout>
      </c:layout>
      <c:barChart>
        <c:barDir val="col"/>
        <c:grouping val="clustered"/>
        <c:varyColors val="0"/>
        <c:ser>
          <c:idx val="0"/>
          <c:order val="0"/>
          <c:tx>
            <c:strRef>
              <c:f>'pivot Table'!$J$18</c:f>
              <c:strCache>
                <c:ptCount val="1"/>
                <c:pt idx="0">
                  <c:v>Total</c:v>
                </c:pt>
              </c:strCache>
            </c:strRef>
          </c:tx>
          <c:spPr>
            <a:solidFill>
              <a:schemeClr val="accent1"/>
            </a:solidFill>
            <a:ln>
              <a:noFill/>
            </a:ln>
            <a:effectLst/>
          </c:spPr>
          <c:invertIfNegative val="0"/>
          <c:dLbls>
            <c:dLbl>
              <c:idx val="0"/>
              <c:spPr>
                <a:noFill/>
                <a:ln>
                  <a:noFill/>
                </a:ln>
                <a:effectLst/>
              </c:spPr>
              <c:txPr>
                <a:bodyPr rot="0" spcFirstLastPara="1" vertOverflow="ellipsis" vert="horz" wrap="square" lIns="38100" tIns="19050" rIns="38100" bIns="19050" anchor="ctr" anchorCtr="1">
                  <a:noAutofit/>
                </a:bodyPr>
                <a:lstStyle/>
                <a:p>
                  <a:pPr>
                    <a:defRPr sz="18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15:layout>
                    <c:manualLayout>
                      <c:w val="0.72948770292602316"/>
                      <c:h val="0.39051789285187227"/>
                    </c:manualLayout>
                  </c15:layout>
                </c:ext>
                <c:ext xmlns:c16="http://schemas.microsoft.com/office/drawing/2014/chart" uri="{C3380CC4-5D6E-409C-BE32-E72D297353CC}">
                  <c16:uniqueId val="{00000000-5C7A-4572-9928-66E76C116B6E}"/>
                </c:ext>
              </c:extLst>
            </c:dLbl>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Table'!$J$19</c:f>
              <c:strCache>
                <c:ptCount val="1"/>
                <c:pt idx="0">
                  <c:v>Total</c:v>
                </c:pt>
              </c:strCache>
            </c:strRef>
          </c:cat>
          <c:val>
            <c:numRef>
              <c:f>'pivot Table'!$J$19</c:f>
              <c:numCache>
                <c:formatCode>General</c:formatCode>
                <c:ptCount val="1"/>
                <c:pt idx="0">
                  <c:v>5716300</c:v>
                </c:pt>
              </c:numCache>
            </c:numRef>
          </c:val>
          <c:extLst>
            <c:ext xmlns:c16="http://schemas.microsoft.com/office/drawing/2014/chart" uri="{C3380CC4-5D6E-409C-BE32-E72D297353CC}">
              <c16:uniqueId val="{00000001-5C7A-4572-9928-66E76C116B6E}"/>
            </c:ext>
          </c:extLst>
        </c:ser>
        <c:dLbls>
          <c:dLblPos val="inEnd"/>
          <c:showLegendKey val="0"/>
          <c:showVal val="1"/>
          <c:showCatName val="0"/>
          <c:showSerName val="0"/>
          <c:showPercent val="0"/>
          <c:showBubbleSize val="0"/>
        </c:dLbls>
        <c:gapWidth val="48"/>
        <c:overlap val="-28"/>
        <c:axId val="1096729184"/>
        <c:axId val="1096741184"/>
      </c:barChart>
      <c:catAx>
        <c:axId val="1096729184"/>
        <c:scaling>
          <c:orientation val="minMax"/>
        </c:scaling>
        <c:delete val="1"/>
        <c:axPos val="b"/>
        <c:numFmt formatCode="General" sourceLinked="1"/>
        <c:majorTickMark val="none"/>
        <c:minorTickMark val="none"/>
        <c:tickLblPos val="nextTo"/>
        <c:crossAx val="1096741184"/>
        <c:crosses val="autoZero"/>
        <c:auto val="1"/>
        <c:lblAlgn val="ctr"/>
        <c:lblOffset val="100"/>
        <c:noMultiLvlLbl val="0"/>
      </c:catAx>
      <c:valAx>
        <c:axId val="1096741184"/>
        <c:scaling>
          <c:orientation val="minMax"/>
        </c:scaling>
        <c:delete val="1"/>
        <c:axPos val="l"/>
        <c:numFmt formatCode="General" sourceLinked="1"/>
        <c:majorTickMark val="none"/>
        <c:minorTickMark val="none"/>
        <c:tickLblPos val="nextTo"/>
        <c:crossAx val="1096729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Retail Sales MIS Dashboard.xlsx]pivot Table!PivotTable7</c:name>
    <c:fmtId val="39"/>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Region Wise Sales</a:t>
            </a:r>
          </a:p>
        </c:rich>
      </c:tx>
      <c:layout>
        <c:manualLayout>
          <c:xMode val="edge"/>
          <c:yMode val="edge"/>
          <c:x val="0.20464480874316943"/>
          <c:y val="1.436781609195402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0699591944393229"/>
              <c:y val="-0.12975396070177764"/>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2345683012761419"/>
              <c:y val="0.14765105872960901"/>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8107001752050084"/>
              <c:y val="4.921701957653634E-2"/>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399177408112961"/>
              <c:y val="-0.12080541168786195"/>
            </c:manualLayout>
          </c:layout>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3669076201540384"/>
          <c:y val="0.22522471098879632"/>
          <c:w val="0.76494858224689122"/>
          <c:h val="0.60403706818201119"/>
        </c:manualLayout>
      </c:layout>
      <c:doughnutChart>
        <c:varyColors val="1"/>
        <c:ser>
          <c:idx val="0"/>
          <c:order val="0"/>
          <c:tx>
            <c:strRef>
              <c:f>'pivot Table'!$L$18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5D6-4A26-A57E-2CC6B85F84C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5D6-4A26-A57E-2CC6B85F84C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5D6-4A26-A57E-2CC6B85F84C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5D6-4A26-A57E-2CC6B85F84C7}"/>
              </c:ext>
            </c:extLst>
          </c:dPt>
          <c:dLbls>
            <c:dLbl>
              <c:idx val="0"/>
              <c:layout>
                <c:manualLayout>
                  <c:x val="0.10699591944393229"/>
                  <c:y val="-0.1297539607017776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5D6-4A26-A57E-2CC6B85F84C7}"/>
                </c:ext>
              </c:extLst>
            </c:dLbl>
            <c:dLbl>
              <c:idx val="1"/>
              <c:layout>
                <c:manualLayout>
                  <c:x val="0.12345683012761419"/>
                  <c:y val="0.14765105872960901"/>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5D6-4A26-A57E-2CC6B85F84C7}"/>
                </c:ext>
              </c:extLst>
            </c:dLbl>
            <c:dLbl>
              <c:idx val="2"/>
              <c:layout>
                <c:manualLayout>
                  <c:x val="-0.18107001752050084"/>
                  <c:y val="4.92170195765363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5D6-4A26-A57E-2CC6B85F84C7}"/>
                </c:ext>
              </c:extLst>
            </c:dLbl>
            <c:dLbl>
              <c:idx val="3"/>
              <c:layout>
                <c:manualLayout>
                  <c:x val="-0.1399177408112961"/>
                  <c:y val="-0.1208054116878619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65D6-4A26-A57E-2CC6B85F84C7}"/>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'pivot Table'!$K$19:$K$22</c:f>
              <c:strCache>
                <c:ptCount val="4"/>
                <c:pt idx="0">
                  <c:v>East</c:v>
                </c:pt>
                <c:pt idx="1">
                  <c:v>North</c:v>
                </c:pt>
                <c:pt idx="2">
                  <c:v>South</c:v>
                </c:pt>
                <c:pt idx="3">
                  <c:v>West</c:v>
                </c:pt>
              </c:strCache>
            </c:strRef>
          </c:cat>
          <c:val>
            <c:numRef>
              <c:f>'pivot Table'!$L$19:$L$22</c:f>
              <c:numCache>
                <c:formatCode>General</c:formatCode>
                <c:ptCount val="4"/>
                <c:pt idx="0">
                  <c:v>1253800</c:v>
                </c:pt>
                <c:pt idx="1">
                  <c:v>1483800</c:v>
                </c:pt>
                <c:pt idx="2">
                  <c:v>1640500</c:v>
                </c:pt>
                <c:pt idx="3">
                  <c:v>1338200</c:v>
                </c:pt>
              </c:numCache>
            </c:numRef>
          </c:val>
          <c:extLst>
            <c:ext xmlns:c16="http://schemas.microsoft.com/office/drawing/2014/chart" uri="{C3380CC4-5D6E-409C-BE32-E72D297353CC}">
              <c16:uniqueId val="{00000008-65D6-4A26-A57E-2CC6B85F84C7}"/>
            </c:ext>
          </c:extLst>
        </c:ser>
        <c:dLbls>
          <c:showLegendKey val="0"/>
          <c:showVal val="1"/>
          <c:showCatName val="0"/>
          <c:showSerName val="0"/>
          <c:showPercent val="0"/>
          <c:showBubbleSize val="0"/>
          <c:showLeaderLines val="0"/>
        </c:dLbls>
        <c:firstSliceAng val="3"/>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Retail Sales MIS Dashboard.xlsx]pivot Table!PivotTable4</c:name>
    <c:fmtId val="42"/>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Sales</a:t>
            </a:r>
            <a:r>
              <a:rPr lang="en-US" b="1" baseline="0">
                <a:solidFill>
                  <a:sysClr val="windowText" lastClr="000000"/>
                </a:solidFill>
              </a:rPr>
              <a:t> by Payment Mode</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5543859649122802"/>
                  <c:h val="0.1694017094017094"/>
                </c:manualLayout>
              </c15:layout>
            </c:ext>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105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5543859649122802"/>
                  <c:h val="0.1694017094017094"/>
                </c:manualLayout>
              </c15:layout>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pivotFmt>
      <c:pivotFmt>
        <c:idx val="6"/>
        <c:spPr>
          <a:solidFill>
            <a:schemeClr val="accent1"/>
          </a:solidFill>
          <a:ln>
            <a:noFill/>
          </a:ln>
          <a:effectLst/>
        </c:spPr>
      </c:pivotFmt>
    </c:pivotFmts>
    <c:plotArea>
      <c:layout>
        <c:manualLayout>
          <c:layoutTarget val="inner"/>
          <c:xMode val="edge"/>
          <c:yMode val="edge"/>
          <c:x val="2.9597375328083993E-2"/>
          <c:y val="0.45750327222121751"/>
          <c:w val="0.96040262467191606"/>
          <c:h val="0.31243505368895053"/>
        </c:manualLayout>
      </c:layout>
      <c:barChart>
        <c:barDir val="col"/>
        <c:grouping val="clustered"/>
        <c:varyColors val="0"/>
        <c:ser>
          <c:idx val="0"/>
          <c:order val="0"/>
          <c:tx>
            <c:strRef>
              <c:f>'pivot Table'!$K$3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Table'!$J$4:$J$5</c:f>
              <c:strCache>
                <c:ptCount val="2"/>
                <c:pt idx="0">
                  <c:v>Cash</c:v>
                </c:pt>
                <c:pt idx="1">
                  <c:v>Online</c:v>
                </c:pt>
              </c:strCache>
            </c:strRef>
          </c:cat>
          <c:val>
            <c:numRef>
              <c:f>'pivot Table'!$K$4:$K$5</c:f>
              <c:numCache>
                <c:formatCode>General</c:formatCode>
                <c:ptCount val="2"/>
                <c:pt idx="0">
                  <c:v>3117100</c:v>
                </c:pt>
                <c:pt idx="1">
                  <c:v>2599200</c:v>
                </c:pt>
              </c:numCache>
            </c:numRef>
          </c:val>
          <c:extLst>
            <c:ext xmlns:c16="http://schemas.microsoft.com/office/drawing/2014/chart" uri="{C3380CC4-5D6E-409C-BE32-E72D297353CC}">
              <c16:uniqueId val="{00000001-E371-4602-8116-66B45C3D5461}"/>
            </c:ext>
          </c:extLst>
        </c:ser>
        <c:dLbls>
          <c:dLblPos val="outEnd"/>
          <c:showLegendKey val="0"/>
          <c:showVal val="1"/>
          <c:showCatName val="0"/>
          <c:showSerName val="0"/>
          <c:showPercent val="0"/>
          <c:showBubbleSize val="0"/>
        </c:dLbls>
        <c:gapWidth val="32"/>
        <c:axId val="984703184"/>
        <c:axId val="1240707712"/>
      </c:barChart>
      <c:catAx>
        <c:axId val="98470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1240707712"/>
        <c:crosses val="autoZero"/>
        <c:auto val="1"/>
        <c:lblAlgn val="ctr"/>
        <c:lblOffset val="100"/>
        <c:noMultiLvlLbl val="0"/>
      </c:catAx>
      <c:valAx>
        <c:axId val="1240707712"/>
        <c:scaling>
          <c:orientation val="minMax"/>
        </c:scaling>
        <c:delete val="1"/>
        <c:axPos val="l"/>
        <c:numFmt formatCode="General" sourceLinked="1"/>
        <c:majorTickMark val="none"/>
        <c:minorTickMark val="none"/>
        <c:tickLblPos val="nextTo"/>
        <c:crossAx val="984703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 Retail Sales MIS Dashboard.xlsx]pivot Table!PivotTable1</c:name>
    <c:fmtId val="26"/>
  </c:pivotSource>
  <c:chart>
    <c:title>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s>
    <c:plotArea>
      <c:layout>
        <c:manualLayout>
          <c:layoutTarget val="inner"/>
          <c:xMode val="edge"/>
          <c:yMode val="edge"/>
          <c:x val="0.26190024673180767"/>
          <c:y val="0.22581441571179697"/>
          <c:w val="0.59604974902296137"/>
          <c:h val="0.70721447151306771"/>
        </c:manualLayout>
      </c:layout>
      <c:barChart>
        <c:barDir val="bar"/>
        <c:grouping val="cluster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Table'!$A$4:$A$6</c:f>
              <c:strCache>
                <c:ptCount val="3"/>
                <c:pt idx="0">
                  <c:v>Electronics</c:v>
                </c:pt>
                <c:pt idx="1">
                  <c:v>Furniture</c:v>
                </c:pt>
                <c:pt idx="2">
                  <c:v>Office Supplies</c:v>
                </c:pt>
              </c:strCache>
            </c:strRef>
          </c:cat>
          <c:val>
            <c:numRef>
              <c:f>'pivot Table'!$B$4:$B$6</c:f>
              <c:numCache>
                <c:formatCode>General</c:formatCode>
                <c:ptCount val="3"/>
                <c:pt idx="0">
                  <c:v>2370400</c:v>
                </c:pt>
                <c:pt idx="1">
                  <c:v>2334500</c:v>
                </c:pt>
                <c:pt idx="2">
                  <c:v>1011400</c:v>
                </c:pt>
              </c:numCache>
            </c:numRef>
          </c:val>
          <c:extLst>
            <c:ext xmlns:c16="http://schemas.microsoft.com/office/drawing/2014/chart" uri="{C3380CC4-5D6E-409C-BE32-E72D297353CC}">
              <c16:uniqueId val="{00000000-19EF-4020-A9A9-01B5062E9E62}"/>
            </c:ext>
          </c:extLst>
        </c:ser>
        <c:dLbls>
          <c:dLblPos val="outEnd"/>
          <c:showLegendKey val="0"/>
          <c:showVal val="1"/>
          <c:showCatName val="0"/>
          <c:showSerName val="0"/>
          <c:showPercent val="0"/>
          <c:showBubbleSize val="0"/>
        </c:dLbls>
        <c:gapWidth val="30"/>
        <c:axId val="1094963904"/>
        <c:axId val="1334454000"/>
      </c:barChart>
      <c:catAx>
        <c:axId val="1094963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1334454000"/>
        <c:crosses val="autoZero"/>
        <c:auto val="1"/>
        <c:lblAlgn val="ctr"/>
        <c:lblOffset val="100"/>
        <c:noMultiLvlLbl val="0"/>
      </c:catAx>
      <c:valAx>
        <c:axId val="1334454000"/>
        <c:scaling>
          <c:orientation val="minMax"/>
        </c:scaling>
        <c:delete val="1"/>
        <c:axPos val="b"/>
        <c:numFmt formatCode="General" sourceLinked="1"/>
        <c:majorTickMark val="none"/>
        <c:minorTickMark val="none"/>
        <c:tickLblPos val="nextTo"/>
        <c:crossAx val="1094963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5</xdr:col>
      <xdr:colOff>137160</xdr:colOff>
      <xdr:row>22</xdr:row>
      <xdr:rowOff>121920</xdr:rowOff>
    </xdr:from>
    <xdr:to>
      <xdr:col>10</xdr:col>
      <xdr:colOff>335280</xdr:colOff>
      <xdr:row>35</xdr:row>
      <xdr:rowOff>30480</xdr:rowOff>
    </xdr:to>
    <xdr:graphicFrame macro="">
      <xdr:nvGraphicFramePr>
        <xdr:cNvPr id="3" name="Chart 2">
          <a:extLst>
            <a:ext uri="{FF2B5EF4-FFF2-40B4-BE49-F238E27FC236}">
              <a16:creationId xmlns:a16="http://schemas.microsoft.com/office/drawing/2014/main" id="{D78AEFD9-9A42-DA4D-DF9C-A16E1DE66F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396240</xdr:colOff>
      <xdr:row>22</xdr:row>
      <xdr:rowOff>137160</xdr:rowOff>
    </xdr:from>
    <xdr:to>
      <xdr:col>8</xdr:col>
      <xdr:colOff>144780</xdr:colOff>
      <xdr:row>36</xdr:row>
      <xdr:rowOff>15240</xdr:rowOff>
    </xdr:to>
    <xdr:graphicFrame macro="">
      <xdr:nvGraphicFramePr>
        <xdr:cNvPr id="4" name="Chart 3">
          <a:extLst>
            <a:ext uri="{FF2B5EF4-FFF2-40B4-BE49-F238E27FC236}">
              <a16:creationId xmlns:a16="http://schemas.microsoft.com/office/drawing/2014/main" id="{6E26D12B-3572-388C-F08F-39EF1604C6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358140</xdr:colOff>
      <xdr:row>14</xdr:row>
      <xdr:rowOff>15240</xdr:rowOff>
    </xdr:from>
    <xdr:to>
      <xdr:col>10</xdr:col>
      <xdr:colOff>640080</xdr:colOff>
      <xdr:row>24</xdr:row>
      <xdr:rowOff>144780</xdr:rowOff>
    </xdr:to>
    <xdr:graphicFrame macro="">
      <xdr:nvGraphicFramePr>
        <xdr:cNvPr id="6" name="Chart 5">
          <a:extLst>
            <a:ext uri="{FF2B5EF4-FFF2-40B4-BE49-F238E27FC236}">
              <a16:creationId xmlns:a16="http://schemas.microsoft.com/office/drawing/2014/main" id="{6BDAF0FE-823C-08A6-641D-307EF34EAD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213360</xdr:colOff>
      <xdr:row>21</xdr:row>
      <xdr:rowOff>167640</xdr:rowOff>
    </xdr:from>
    <xdr:to>
      <xdr:col>7</xdr:col>
      <xdr:colOff>640080</xdr:colOff>
      <xdr:row>26</xdr:row>
      <xdr:rowOff>175260</xdr:rowOff>
    </xdr:to>
    <xdr:graphicFrame macro="">
      <xdr:nvGraphicFramePr>
        <xdr:cNvPr id="7" name="Chart 6">
          <a:extLst>
            <a:ext uri="{FF2B5EF4-FFF2-40B4-BE49-F238E27FC236}">
              <a16:creationId xmlns:a16="http://schemas.microsoft.com/office/drawing/2014/main" id="{B1A3D275-B129-829E-D2DD-76A566004C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60960</xdr:colOff>
      <xdr:row>16</xdr:row>
      <xdr:rowOff>0</xdr:rowOff>
    </xdr:from>
    <xdr:to>
      <xdr:col>7</xdr:col>
      <xdr:colOff>914400</xdr:colOff>
      <xdr:row>25</xdr:row>
      <xdr:rowOff>121920</xdr:rowOff>
    </xdr:to>
    <xdr:graphicFrame macro="">
      <xdr:nvGraphicFramePr>
        <xdr:cNvPr id="8" name="Chart 7">
          <a:extLst>
            <a:ext uri="{FF2B5EF4-FFF2-40B4-BE49-F238E27FC236}">
              <a16:creationId xmlns:a16="http://schemas.microsoft.com/office/drawing/2014/main" id="{998EDF15-3519-2ABC-0580-520FF8CD19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579120</xdr:colOff>
      <xdr:row>13</xdr:row>
      <xdr:rowOff>22860</xdr:rowOff>
    </xdr:from>
    <xdr:to>
      <xdr:col>9</xdr:col>
      <xdr:colOff>403860</xdr:colOff>
      <xdr:row>21</xdr:row>
      <xdr:rowOff>45720</xdr:rowOff>
    </xdr:to>
    <xdr:graphicFrame macro="">
      <xdr:nvGraphicFramePr>
        <xdr:cNvPr id="9" name="Chart 8">
          <a:extLst>
            <a:ext uri="{FF2B5EF4-FFF2-40B4-BE49-F238E27FC236}">
              <a16:creationId xmlns:a16="http://schemas.microsoft.com/office/drawing/2014/main" id="{F4019FF5-B3B8-C6B3-F7B1-FAC9A4D259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137160</xdr:colOff>
      <xdr:row>10</xdr:row>
      <xdr:rowOff>76200</xdr:rowOff>
    </xdr:from>
    <xdr:to>
      <xdr:col>9</xdr:col>
      <xdr:colOff>541020</xdr:colOff>
      <xdr:row>21</xdr:row>
      <xdr:rowOff>45720</xdr:rowOff>
    </xdr:to>
    <xdr:graphicFrame macro="">
      <xdr:nvGraphicFramePr>
        <xdr:cNvPr id="10" name="Chart 9">
          <a:extLst>
            <a:ext uri="{FF2B5EF4-FFF2-40B4-BE49-F238E27FC236}">
              <a16:creationId xmlns:a16="http://schemas.microsoft.com/office/drawing/2014/main" id="{FB94F947-FB3B-06C9-A1EF-15CE5C3A7B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754380</xdr:colOff>
      <xdr:row>6</xdr:row>
      <xdr:rowOff>45720</xdr:rowOff>
    </xdr:from>
    <xdr:to>
      <xdr:col>7</xdr:col>
      <xdr:colOff>967740</xdr:colOff>
      <xdr:row>16</xdr:row>
      <xdr:rowOff>83820</xdr:rowOff>
    </xdr:to>
    <xdr:graphicFrame macro="">
      <xdr:nvGraphicFramePr>
        <xdr:cNvPr id="11" name="Chart 10">
          <a:extLst>
            <a:ext uri="{FF2B5EF4-FFF2-40B4-BE49-F238E27FC236}">
              <a16:creationId xmlns:a16="http://schemas.microsoft.com/office/drawing/2014/main" id="{49B256A2-EDCD-EF8C-41BD-A4CE13EAC3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28785</xdr:colOff>
      <xdr:row>0</xdr:row>
      <xdr:rowOff>13546</xdr:rowOff>
    </xdr:from>
    <xdr:to>
      <xdr:col>19</xdr:col>
      <xdr:colOff>209550</xdr:colOff>
      <xdr:row>34</xdr:row>
      <xdr:rowOff>76200</xdr:rowOff>
    </xdr:to>
    <xdr:sp macro="" textlink="">
      <xdr:nvSpPr>
        <xdr:cNvPr id="2" name="Rectangle 1">
          <a:extLst>
            <a:ext uri="{FF2B5EF4-FFF2-40B4-BE49-F238E27FC236}">
              <a16:creationId xmlns:a16="http://schemas.microsoft.com/office/drawing/2014/main" id="{7E15DF0B-A6B1-F11F-9465-93E4E78A4DC8}"/>
            </a:ext>
          </a:extLst>
        </xdr:cNvPr>
        <xdr:cNvSpPr/>
      </xdr:nvSpPr>
      <xdr:spPr>
        <a:xfrm>
          <a:off x="28785" y="13546"/>
          <a:ext cx="11763165" cy="6215804"/>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342901</xdr:colOff>
      <xdr:row>21</xdr:row>
      <xdr:rowOff>85725</xdr:rowOff>
    </xdr:from>
    <xdr:to>
      <xdr:col>9</xdr:col>
      <xdr:colOff>19051</xdr:colOff>
      <xdr:row>34</xdr:row>
      <xdr:rowOff>38100</xdr:rowOff>
    </xdr:to>
    <xdr:graphicFrame macro="">
      <xdr:nvGraphicFramePr>
        <xdr:cNvPr id="12" name="Chart 11">
          <a:extLst>
            <a:ext uri="{FF2B5EF4-FFF2-40B4-BE49-F238E27FC236}">
              <a16:creationId xmlns:a16="http://schemas.microsoft.com/office/drawing/2014/main" id="{B6713A2A-BC2C-456D-8FE3-4F6A888679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171449</xdr:colOff>
      <xdr:row>2</xdr:row>
      <xdr:rowOff>161925</xdr:rowOff>
    </xdr:from>
    <xdr:to>
      <xdr:col>19</xdr:col>
      <xdr:colOff>200025</xdr:colOff>
      <xdr:row>18</xdr:row>
      <xdr:rowOff>123825</xdr:rowOff>
    </xdr:to>
    <xdr:graphicFrame macro="">
      <xdr:nvGraphicFramePr>
        <xdr:cNvPr id="13" name="Chart 12">
          <a:extLst>
            <a:ext uri="{FF2B5EF4-FFF2-40B4-BE49-F238E27FC236}">
              <a16:creationId xmlns:a16="http://schemas.microsoft.com/office/drawing/2014/main" id="{5490F033-A75F-48BE-8B00-C19B94D6FE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76198</xdr:colOff>
      <xdr:row>8</xdr:row>
      <xdr:rowOff>95250</xdr:rowOff>
    </xdr:from>
    <xdr:to>
      <xdr:col>2</xdr:col>
      <xdr:colOff>352425</xdr:colOff>
      <xdr:row>34</xdr:row>
      <xdr:rowOff>57150</xdr:rowOff>
    </xdr:to>
    <mc:AlternateContent xmlns:mc="http://schemas.openxmlformats.org/markup-compatibility/2006">
      <mc:Choice xmlns:a14="http://schemas.microsoft.com/office/drawing/2010/main" Requires="a14">
        <xdr:graphicFrame macro="">
          <xdr:nvGraphicFramePr>
            <xdr:cNvPr id="22" name="Month">
              <a:extLst>
                <a:ext uri="{FF2B5EF4-FFF2-40B4-BE49-F238E27FC236}">
                  <a16:creationId xmlns:a16="http://schemas.microsoft.com/office/drawing/2014/main" id="{614E81E2-77F0-28D2-7389-9B6E82F9055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76198" y="1543050"/>
              <a:ext cx="1495427" cy="4667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28575</xdr:colOff>
      <xdr:row>2</xdr:row>
      <xdr:rowOff>161924</xdr:rowOff>
    </xdr:from>
    <xdr:to>
      <xdr:col>14</xdr:col>
      <xdr:colOff>161926</xdr:colOff>
      <xdr:row>34</xdr:row>
      <xdr:rowOff>47625</xdr:rowOff>
    </xdr:to>
    <xdr:graphicFrame macro="">
      <xdr:nvGraphicFramePr>
        <xdr:cNvPr id="23" name="Chart 22">
          <a:extLst>
            <a:ext uri="{FF2B5EF4-FFF2-40B4-BE49-F238E27FC236}">
              <a16:creationId xmlns:a16="http://schemas.microsoft.com/office/drawing/2014/main" id="{EC92BA36-99A3-48DE-B806-82E3CB7C23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28575</xdr:colOff>
      <xdr:row>3</xdr:row>
      <xdr:rowOff>0</xdr:rowOff>
    </xdr:from>
    <xdr:to>
      <xdr:col>2</xdr:col>
      <xdr:colOff>352425</xdr:colOff>
      <xdr:row>8</xdr:row>
      <xdr:rowOff>104774</xdr:rowOff>
    </xdr:to>
    <xdr:graphicFrame macro="">
      <xdr:nvGraphicFramePr>
        <xdr:cNvPr id="24" name="Chart 23">
          <a:extLst>
            <a:ext uri="{FF2B5EF4-FFF2-40B4-BE49-F238E27FC236}">
              <a16:creationId xmlns:a16="http://schemas.microsoft.com/office/drawing/2014/main" id="{86F763A2-A956-4321-90F0-410984BD4D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171450</xdr:colOff>
      <xdr:row>18</xdr:row>
      <xdr:rowOff>123825</xdr:rowOff>
    </xdr:from>
    <xdr:to>
      <xdr:col>19</xdr:col>
      <xdr:colOff>209549</xdr:colOff>
      <xdr:row>34</xdr:row>
      <xdr:rowOff>66674</xdr:rowOff>
    </xdr:to>
    <xdr:graphicFrame macro="">
      <xdr:nvGraphicFramePr>
        <xdr:cNvPr id="25" name="Chart 24">
          <a:extLst>
            <a:ext uri="{FF2B5EF4-FFF2-40B4-BE49-F238E27FC236}">
              <a16:creationId xmlns:a16="http://schemas.microsoft.com/office/drawing/2014/main" id="{5CD7BD6B-3AF0-4D51-8123-7C0199BBB9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361951</xdr:colOff>
      <xdr:row>3</xdr:row>
      <xdr:rowOff>0</xdr:rowOff>
    </xdr:from>
    <xdr:to>
      <xdr:col>9</xdr:col>
      <xdr:colOff>19051</xdr:colOff>
      <xdr:row>10</xdr:row>
      <xdr:rowOff>9525</xdr:rowOff>
    </xdr:to>
    <xdr:graphicFrame macro="">
      <xdr:nvGraphicFramePr>
        <xdr:cNvPr id="26" name="Chart 25">
          <a:extLst>
            <a:ext uri="{FF2B5EF4-FFF2-40B4-BE49-F238E27FC236}">
              <a16:creationId xmlns:a16="http://schemas.microsoft.com/office/drawing/2014/main" id="{35EB14DD-41DE-46B8-9A55-F82CC9097A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352425</xdr:colOff>
      <xdr:row>10</xdr:row>
      <xdr:rowOff>0</xdr:rowOff>
    </xdr:from>
    <xdr:to>
      <xdr:col>9</xdr:col>
      <xdr:colOff>19051</xdr:colOff>
      <xdr:row>21</xdr:row>
      <xdr:rowOff>95249</xdr:rowOff>
    </xdr:to>
    <xdr:graphicFrame macro="">
      <xdr:nvGraphicFramePr>
        <xdr:cNvPr id="28" name="Chart 27">
          <a:extLst>
            <a:ext uri="{FF2B5EF4-FFF2-40B4-BE49-F238E27FC236}">
              <a16:creationId xmlns:a16="http://schemas.microsoft.com/office/drawing/2014/main" id="{BDE5EB98-F37E-4B8C-B933-700A451C54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38100</xdr:colOff>
      <xdr:row>0</xdr:row>
      <xdr:rowOff>28575</xdr:rowOff>
    </xdr:from>
    <xdr:to>
      <xdr:col>19</xdr:col>
      <xdr:colOff>190500</xdr:colOff>
      <xdr:row>2</xdr:row>
      <xdr:rowOff>171450</xdr:rowOff>
    </xdr:to>
    <xdr:sp macro="" textlink="">
      <xdr:nvSpPr>
        <xdr:cNvPr id="30" name="Rectangle 29">
          <a:extLst>
            <a:ext uri="{FF2B5EF4-FFF2-40B4-BE49-F238E27FC236}">
              <a16:creationId xmlns:a16="http://schemas.microsoft.com/office/drawing/2014/main" id="{B7B56B1C-294E-E1CD-CCF5-04C24DDACF3F}"/>
            </a:ext>
          </a:extLst>
        </xdr:cNvPr>
        <xdr:cNvSpPr/>
      </xdr:nvSpPr>
      <xdr:spPr>
        <a:xfrm>
          <a:off x="38100" y="28575"/>
          <a:ext cx="11734800" cy="5048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800" b="1">
              <a:solidFill>
                <a:schemeClr val="bg1"/>
              </a:solidFill>
            </a:rPr>
            <a:t>Global Retail Sales MIS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45.00753333333" createdVersion="8" refreshedVersion="8" minRefreshableVersion="3" recordCount="200" xr:uid="{C1028982-211B-4048-961C-520404BA874D}">
  <cacheSource type="worksheet">
    <worksheetSource ref="A1:L201" sheet="Cleaned Data"/>
  </cacheSource>
  <cacheFields count="12">
    <cacheField name="Date" numFmtId="14">
      <sharedItems containsDate="1" containsMixedTypes="1" minDate="2026-04-09T00:00:00" maxDate="2026-12-31T00:00:00"/>
    </cacheField>
    <cacheField name="Order_ID" numFmtId="0">
      <sharedItems containsSemiMixedTypes="0" containsString="0" containsNumber="1" containsInteger="1" minValue="3001" maxValue="3200"/>
    </cacheField>
    <cacheField name="Product" numFmtId="0">
      <sharedItems count="8">
        <s v="Sofa"/>
        <s v="Bed"/>
        <s v="Pen"/>
        <s v="Chair"/>
        <s v="Laptop"/>
        <s v="Printer"/>
        <s v="Mobile"/>
        <s v="Table"/>
      </sharedItems>
    </cacheField>
    <cacheField name="Category" numFmtId="0">
      <sharedItems count="3">
        <s v="Furniture"/>
        <s v="Office Supplies"/>
        <s v="Electronics"/>
      </sharedItems>
    </cacheField>
    <cacheField name="Sub_Category" numFmtId="0">
      <sharedItems count="6">
        <s v="Home"/>
        <s v="Stationery"/>
        <s v="Office"/>
        <s v="Computers"/>
        <s v="Machines"/>
        <s v="Phones"/>
      </sharedItems>
    </cacheField>
    <cacheField name="Quantity" numFmtId="0">
      <sharedItems containsSemiMixedTypes="0" containsString="0" containsNumber="1" containsInteger="1" minValue="1" maxValue="20"/>
    </cacheField>
    <cacheField name="Rate" numFmtId="0">
      <sharedItems containsSemiMixedTypes="0" containsString="0" containsNumber="1" containsInteger="1" minValue="500" maxValue="9000"/>
    </cacheField>
    <cacheField name="Amount" numFmtId="0">
      <sharedItems containsSemiMixedTypes="0" containsString="0" containsNumber="1" containsInteger="1" minValue="800" maxValue="180000"/>
    </cacheField>
    <cacheField name="Region" numFmtId="0">
      <sharedItems count="4">
        <s v="East"/>
        <s v="North"/>
        <s v="South"/>
        <s v="West"/>
      </sharedItems>
    </cacheField>
    <cacheField name="Country" numFmtId="0">
      <sharedItems count="4">
        <s v="UAE"/>
        <s v="India"/>
        <s v="UK"/>
        <s v="USA"/>
      </sharedItems>
    </cacheField>
    <cacheField name="Payment_Type" numFmtId="0">
      <sharedItems count="2">
        <s v="Cash"/>
        <s v="Online"/>
      </sharedItems>
    </cacheField>
    <cacheField name="Month" numFmtId="0">
      <sharedItems count="12">
        <s v="Feb"/>
        <s v="Jan"/>
        <s v="Apr"/>
        <s v="Mar"/>
        <s v="Jul"/>
        <s v="Aug"/>
        <s v="May"/>
        <s v="Jun"/>
        <s v="Dec"/>
        <s v="Nov"/>
        <s v="Oct"/>
        <s v="Sep"/>
      </sharedItems>
    </cacheField>
  </cacheFields>
  <extLst>
    <ext xmlns:x14="http://schemas.microsoft.com/office/spreadsheetml/2009/9/main" uri="{725AE2AE-9491-48be-B2B4-4EB974FC3084}">
      <x14:pivotCacheDefinition pivotCacheId="8844049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16-02-2026"/>
    <n v="3001"/>
    <x v="0"/>
    <x v="0"/>
    <x v="0"/>
    <n v="7"/>
    <n v="2000"/>
    <n v="14000"/>
    <x v="0"/>
    <x v="0"/>
    <x v="0"/>
    <x v="0"/>
  </r>
  <r>
    <s v="25-01-2026"/>
    <n v="3002"/>
    <x v="1"/>
    <x v="0"/>
    <x v="0"/>
    <n v="12"/>
    <n v="500"/>
    <n v="6000"/>
    <x v="1"/>
    <x v="1"/>
    <x v="0"/>
    <x v="1"/>
  </r>
  <r>
    <s v="05-02-2026"/>
    <n v="3003"/>
    <x v="2"/>
    <x v="1"/>
    <x v="1"/>
    <n v="11"/>
    <n v="2000"/>
    <n v="22000"/>
    <x v="0"/>
    <x v="1"/>
    <x v="1"/>
    <x v="0"/>
  </r>
  <r>
    <s v="20-01-2026"/>
    <n v="3004"/>
    <x v="1"/>
    <x v="0"/>
    <x v="0"/>
    <n v="11"/>
    <n v="5000"/>
    <n v="55000"/>
    <x v="1"/>
    <x v="2"/>
    <x v="0"/>
    <x v="1"/>
  </r>
  <r>
    <s v="16-01-2026"/>
    <n v="3005"/>
    <x v="3"/>
    <x v="0"/>
    <x v="2"/>
    <n v="17"/>
    <n v="1500"/>
    <n v="25500"/>
    <x v="2"/>
    <x v="2"/>
    <x v="1"/>
    <x v="1"/>
  </r>
  <r>
    <s v="24-02-2026"/>
    <n v="3006"/>
    <x v="4"/>
    <x v="2"/>
    <x v="3"/>
    <n v="3"/>
    <n v="7000"/>
    <n v="21000"/>
    <x v="0"/>
    <x v="0"/>
    <x v="1"/>
    <x v="0"/>
  </r>
  <r>
    <s v="22-01-2026"/>
    <n v="3007"/>
    <x v="0"/>
    <x v="0"/>
    <x v="0"/>
    <n v="19"/>
    <n v="1500"/>
    <n v="28500"/>
    <x v="3"/>
    <x v="1"/>
    <x v="1"/>
    <x v="1"/>
  </r>
  <r>
    <s v="11-01-2026"/>
    <n v="3008"/>
    <x v="5"/>
    <x v="1"/>
    <x v="4"/>
    <n v="20"/>
    <n v="3000"/>
    <n v="60000"/>
    <x v="3"/>
    <x v="1"/>
    <x v="0"/>
    <x v="1"/>
  </r>
  <r>
    <s v="18-01-2026"/>
    <n v="3009"/>
    <x v="1"/>
    <x v="0"/>
    <x v="0"/>
    <n v="10"/>
    <n v="3000"/>
    <n v="30000"/>
    <x v="1"/>
    <x v="0"/>
    <x v="0"/>
    <x v="1"/>
  </r>
  <r>
    <s v="16-01-2026"/>
    <n v="3010"/>
    <x v="4"/>
    <x v="2"/>
    <x v="3"/>
    <n v="18"/>
    <n v="7000"/>
    <n v="126000"/>
    <x v="1"/>
    <x v="0"/>
    <x v="1"/>
    <x v="1"/>
  </r>
  <r>
    <d v="2026-04-26T00:00:00"/>
    <n v="3011"/>
    <x v="6"/>
    <x v="2"/>
    <x v="5"/>
    <n v="11"/>
    <n v="2000"/>
    <n v="22000"/>
    <x v="2"/>
    <x v="1"/>
    <x v="0"/>
    <x v="2"/>
  </r>
  <r>
    <s v="15-01-2026"/>
    <n v="3012"/>
    <x v="0"/>
    <x v="0"/>
    <x v="0"/>
    <n v="11"/>
    <n v="5000"/>
    <n v="55000"/>
    <x v="0"/>
    <x v="1"/>
    <x v="0"/>
    <x v="1"/>
  </r>
  <r>
    <s v="06-01-2026"/>
    <n v="3013"/>
    <x v="5"/>
    <x v="1"/>
    <x v="4"/>
    <n v="15"/>
    <n v="1500"/>
    <n v="22500"/>
    <x v="1"/>
    <x v="0"/>
    <x v="0"/>
    <x v="1"/>
  </r>
  <r>
    <s v="20-01-2026"/>
    <n v="3014"/>
    <x v="0"/>
    <x v="0"/>
    <x v="0"/>
    <n v="20"/>
    <n v="800"/>
    <n v="16000"/>
    <x v="3"/>
    <x v="3"/>
    <x v="1"/>
    <x v="1"/>
  </r>
  <r>
    <s v="05-01-2026"/>
    <n v="3015"/>
    <x v="5"/>
    <x v="1"/>
    <x v="4"/>
    <n v="2"/>
    <n v="800"/>
    <n v="1600"/>
    <x v="2"/>
    <x v="2"/>
    <x v="1"/>
    <x v="1"/>
  </r>
  <r>
    <s v="08-01-2026"/>
    <n v="3016"/>
    <x v="4"/>
    <x v="2"/>
    <x v="3"/>
    <n v="12"/>
    <n v="7000"/>
    <n v="84000"/>
    <x v="2"/>
    <x v="0"/>
    <x v="0"/>
    <x v="1"/>
  </r>
  <r>
    <s v="12-01-2026"/>
    <n v="3017"/>
    <x v="6"/>
    <x v="2"/>
    <x v="5"/>
    <n v="8"/>
    <n v="500"/>
    <n v="4000"/>
    <x v="3"/>
    <x v="2"/>
    <x v="0"/>
    <x v="1"/>
  </r>
  <r>
    <s v="07-02-2026"/>
    <n v="3018"/>
    <x v="3"/>
    <x v="0"/>
    <x v="2"/>
    <n v="15"/>
    <n v="1500"/>
    <n v="22500"/>
    <x v="3"/>
    <x v="1"/>
    <x v="0"/>
    <x v="0"/>
  </r>
  <r>
    <s v="23-02-2026"/>
    <n v="3019"/>
    <x v="3"/>
    <x v="0"/>
    <x v="2"/>
    <n v="4"/>
    <n v="500"/>
    <n v="2000"/>
    <x v="3"/>
    <x v="2"/>
    <x v="1"/>
    <x v="0"/>
  </r>
  <r>
    <s v="20-02-2026"/>
    <n v="3020"/>
    <x v="7"/>
    <x v="0"/>
    <x v="2"/>
    <n v="19"/>
    <n v="2000"/>
    <n v="38000"/>
    <x v="2"/>
    <x v="2"/>
    <x v="1"/>
    <x v="0"/>
  </r>
  <r>
    <s v="17-01-2026"/>
    <n v="3021"/>
    <x v="7"/>
    <x v="0"/>
    <x v="2"/>
    <n v="14"/>
    <n v="5000"/>
    <n v="70000"/>
    <x v="1"/>
    <x v="1"/>
    <x v="0"/>
    <x v="1"/>
  </r>
  <r>
    <s v="19-02-2026"/>
    <n v="3022"/>
    <x v="2"/>
    <x v="1"/>
    <x v="1"/>
    <n v="14"/>
    <n v="5000"/>
    <n v="70000"/>
    <x v="0"/>
    <x v="0"/>
    <x v="1"/>
    <x v="0"/>
  </r>
  <r>
    <s v="22-02-2026"/>
    <n v="3023"/>
    <x v="3"/>
    <x v="0"/>
    <x v="2"/>
    <n v="1"/>
    <n v="2000"/>
    <n v="2000"/>
    <x v="3"/>
    <x v="1"/>
    <x v="1"/>
    <x v="0"/>
  </r>
  <r>
    <s v="11-01-2026"/>
    <n v="3024"/>
    <x v="6"/>
    <x v="2"/>
    <x v="5"/>
    <n v="6"/>
    <n v="800"/>
    <n v="4800"/>
    <x v="1"/>
    <x v="1"/>
    <x v="0"/>
    <x v="1"/>
  </r>
  <r>
    <s v="09-01-2026"/>
    <n v="3025"/>
    <x v="6"/>
    <x v="2"/>
    <x v="5"/>
    <n v="20"/>
    <n v="5000"/>
    <n v="100000"/>
    <x v="0"/>
    <x v="1"/>
    <x v="0"/>
    <x v="1"/>
  </r>
  <r>
    <s v="08-02-2026"/>
    <n v="3026"/>
    <x v="4"/>
    <x v="2"/>
    <x v="3"/>
    <n v="18"/>
    <n v="7000"/>
    <n v="126000"/>
    <x v="0"/>
    <x v="0"/>
    <x v="1"/>
    <x v="0"/>
  </r>
  <r>
    <s v="01-03-2026"/>
    <n v="3027"/>
    <x v="3"/>
    <x v="0"/>
    <x v="2"/>
    <n v="8"/>
    <n v="1500"/>
    <n v="12000"/>
    <x v="2"/>
    <x v="2"/>
    <x v="0"/>
    <x v="3"/>
  </r>
  <r>
    <s v="09-02-2026"/>
    <n v="3028"/>
    <x v="1"/>
    <x v="0"/>
    <x v="0"/>
    <n v="1"/>
    <n v="5000"/>
    <n v="5000"/>
    <x v="2"/>
    <x v="0"/>
    <x v="1"/>
    <x v="0"/>
  </r>
  <r>
    <s v="05-01-2026"/>
    <n v="3029"/>
    <x v="5"/>
    <x v="1"/>
    <x v="4"/>
    <n v="8"/>
    <n v="1500"/>
    <n v="12000"/>
    <x v="2"/>
    <x v="3"/>
    <x v="1"/>
    <x v="1"/>
  </r>
  <r>
    <s v="09-02-2026"/>
    <n v="3030"/>
    <x v="4"/>
    <x v="2"/>
    <x v="3"/>
    <n v="20"/>
    <n v="9000"/>
    <n v="180000"/>
    <x v="2"/>
    <x v="3"/>
    <x v="0"/>
    <x v="0"/>
  </r>
  <r>
    <s v="03-01-2026"/>
    <n v="3031"/>
    <x v="0"/>
    <x v="0"/>
    <x v="0"/>
    <n v="9"/>
    <n v="1500"/>
    <n v="13500"/>
    <x v="1"/>
    <x v="1"/>
    <x v="0"/>
    <x v="1"/>
  </r>
  <r>
    <s v="10-01-2026"/>
    <n v="3032"/>
    <x v="7"/>
    <x v="0"/>
    <x v="2"/>
    <n v="11"/>
    <n v="1500"/>
    <n v="16500"/>
    <x v="3"/>
    <x v="1"/>
    <x v="1"/>
    <x v="1"/>
  </r>
  <r>
    <s v="31-01-2026"/>
    <n v="3033"/>
    <x v="7"/>
    <x v="0"/>
    <x v="2"/>
    <n v="1"/>
    <n v="800"/>
    <n v="800"/>
    <x v="1"/>
    <x v="2"/>
    <x v="0"/>
    <x v="1"/>
  </r>
  <r>
    <s v="02-01-2026"/>
    <n v="3034"/>
    <x v="4"/>
    <x v="2"/>
    <x v="3"/>
    <n v="3"/>
    <n v="6000"/>
    <n v="18000"/>
    <x v="3"/>
    <x v="2"/>
    <x v="0"/>
    <x v="1"/>
  </r>
  <r>
    <s v="11-02-2026"/>
    <n v="3035"/>
    <x v="4"/>
    <x v="2"/>
    <x v="3"/>
    <n v="14"/>
    <n v="8000"/>
    <n v="112000"/>
    <x v="0"/>
    <x v="1"/>
    <x v="0"/>
    <x v="0"/>
  </r>
  <r>
    <s v="21-01-2026"/>
    <n v="3036"/>
    <x v="7"/>
    <x v="0"/>
    <x v="2"/>
    <n v="18"/>
    <n v="5000"/>
    <n v="90000"/>
    <x v="2"/>
    <x v="3"/>
    <x v="1"/>
    <x v="1"/>
  </r>
  <r>
    <s v="23-01-2026"/>
    <n v="3037"/>
    <x v="3"/>
    <x v="0"/>
    <x v="2"/>
    <n v="18"/>
    <n v="5000"/>
    <n v="90000"/>
    <x v="3"/>
    <x v="3"/>
    <x v="1"/>
    <x v="1"/>
  </r>
  <r>
    <s v="12-02-2026"/>
    <n v="3038"/>
    <x v="5"/>
    <x v="1"/>
    <x v="4"/>
    <n v="18"/>
    <n v="2000"/>
    <n v="36000"/>
    <x v="2"/>
    <x v="3"/>
    <x v="0"/>
    <x v="0"/>
  </r>
  <r>
    <s v="27-01-2026"/>
    <n v="3039"/>
    <x v="1"/>
    <x v="0"/>
    <x v="0"/>
    <n v="10"/>
    <n v="3000"/>
    <n v="30000"/>
    <x v="1"/>
    <x v="3"/>
    <x v="1"/>
    <x v="1"/>
  </r>
  <r>
    <s v="14-01-2026"/>
    <n v="3040"/>
    <x v="0"/>
    <x v="0"/>
    <x v="0"/>
    <n v="19"/>
    <n v="500"/>
    <n v="9500"/>
    <x v="1"/>
    <x v="0"/>
    <x v="0"/>
    <x v="1"/>
  </r>
  <r>
    <s v="24-01-2026"/>
    <n v="3041"/>
    <x v="7"/>
    <x v="0"/>
    <x v="2"/>
    <n v="18"/>
    <n v="800"/>
    <n v="14400"/>
    <x v="0"/>
    <x v="3"/>
    <x v="0"/>
    <x v="1"/>
  </r>
  <r>
    <s v="31-01-2026"/>
    <n v="3042"/>
    <x v="0"/>
    <x v="0"/>
    <x v="0"/>
    <n v="17"/>
    <n v="2000"/>
    <n v="34000"/>
    <x v="1"/>
    <x v="3"/>
    <x v="0"/>
    <x v="1"/>
  </r>
  <r>
    <s v="25-01-2026"/>
    <n v="3043"/>
    <x v="2"/>
    <x v="1"/>
    <x v="1"/>
    <n v="12"/>
    <n v="2000"/>
    <n v="24000"/>
    <x v="1"/>
    <x v="2"/>
    <x v="0"/>
    <x v="1"/>
  </r>
  <r>
    <s v="12-01-2026"/>
    <n v="3044"/>
    <x v="7"/>
    <x v="0"/>
    <x v="2"/>
    <n v="15"/>
    <n v="5000"/>
    <n v="75000"/>
    <x v="1"/>
    <x v="0"/>
    <x v="0"/>
    <x v="1"/>
  </r>
  <r>
    <d v="2026-07-29T00:00:00"/>
    <n v="3045"/>
    <x v="6"/>
    <x v="2"/>
    <x v="5"/>
    <n v="18"/>
    <n v="5000"/>
    <n v="90000"/>
    <x v="2"/>
    <x v="0"/>
    <x v="1"/>
    <x v="4"/>
  </r>
  <r>
    <s v="01-01-2026"/>
    <n v="3046"/>
    <x v="5"/>
    <x v="1"/>
    <x v="4"/>
    <n v="13"/>
    <n v="800"/>
    <n v="10400"/>
    <x v="1"/>
    <x v="0"/>
    <x v="0"/>
    <x v="1"/>
  </r>
  <r>
    <s v="15-02-2026"/>
    <n v="3047"/>
    <x v="0"/>
    <x v="0"/>
    <x v="0"/>
    <n v="8"/>
    <n v="800"/>
    <n v="6400"/>
    <x v="0"/>
    <x v="3"/>
    <x v="1"/>
    <x v="0"/>
  </r>
  <r>
    <d v="2026-08-05T00:00:00"/>
    <n v="3048"/>
    <x v="6"/>
    <x v="2"/>
    <x v="5"/>
    <n v="19"/>
    <n v="5000"/>
    <n v="95000"/>
    <x v="3"/>
    <x v="1"/>
    <x v="0"/>
    <x v="5"/>
  </r>
  <r>
    <s v="01-02-2026"/>
    <n v="3049"/>
    <x v="2"/>
    <x v="1"/>
    <x v="1"/>
    <n v="9"/>
    <n v="1500"/>
    <n v="13500"/>
    <x v="0"/>
    <x v="3"/>
    <x v="0"/>
    <x v="0"/>
  </r>
  <r>
    <s v="08-01-2026"/>
    <n v="3050"/>
    <x v="1"/>
    <x v="0"/>
    <x v="0"/>
    <n v="11"/>
    <n v="1500"/>
    <n v="16500"/>
    <x v="3"/>
    <x v="1"/>
    <x v="0"/>
    <x v="1"/>
  </r>
  <r>
    <s v="11-01-2026"/>
    <n v="3051"/>
    <x v="2"/>
    <x v="1"/>
    <x v="1"/>
    <n v="2"/>
    <n v="2000"/>
    <n v="4000"/>
    <x v="0"/>
    <x v="3"/>
    <x v="1"/>
    <x v="1"/>
  </r>
  <r>
    <d v="2026-08-16T00:00:00"/>
    <n v="3052"/>
    <x v="7"/>
    <x v="0"/>
    <x v="2"/>
    <n v="17"/>
    <n v="500"/>
    <n v="8500"/>
    <x v="0"/>
    <x v="1"/>
    <x v="1"/>
    <x v="5"/>
  </r>
  <r>
    <s v="13-01-2026"/>
    <n v="3053"/>
    <x v="5"/>
    <x v="1"/>
    <x v="4"/>
    <n v="7"/>
    <n v="5000"/>
    <n v="35000"/>
    <x v="3"/>
    <x v="3"/>
    <x v="1"/>
    <x v="1"/>
  </r>
  <r>
    <s v="08-02-2026"/>
    <n v="3054"/>
    <x v="1"/>
    <x v="0"/>
    <x v="0"/>
    <n v="12"/>
    <n v="2000"/>
    <n v="24000"/>
    <x v="0"/>
    <x v="0"/>
    <x v="1"/>
    <x v="0"/>
  </r>
  <r>
    <s v="02-03-2026"/>
    <n v="3055"/>
    <x v="0"/>
    <x v="0"/>
    <x v="0"/>
    <n v="20"/>
    <n v="1500"/>
    <n v="30000"/>
    <x v="1"/>
    <x v="3"/>
    <x v="0"/>
    <x v="3"/>
  </r>
  <r>
    <s v="26-02-2026"/>
    <n v="3056"/>
    <x v="2"/>
    <x v="1"/>
    <x v="1"/>
    <n v="5"/>
    <n v="1500"/>
    <n v="7500"/>
    <x v="0"/>
    <x v="3"/>
    <x v="0"/>
    <x v="0"/>
  </r>
  <r>
    <s v="21-02-2026"/>
    <n v="3057"/>
    <x v="5"/>
    <x v="1"/>
    <x v="4"/>
    <n v="9"/>
    <n v="3000"/>
    <n v="27000"/>
    <x v="2"/>
    <x v="3"/>
    <x v="1"/>
    <x v="0"/>
  </r>
  <r>
    <d v="2026-07-23T00:00:00"/>
    <n v="3058"/>
    <x v="7"/>
    <x v="0"/>
    <x v="2"/>
    <n v="7"/>
    <n v="500"/>
    <n v="3500"/>
    <x v="0"/>
    <x v="3"/>
    <x v="0"/>
    <x v="4"/>
  </r>
  <r>
    <s v="02-01-2026"/>
    <n v="3059"/>
    <x v="4"/>
    <x v="2"/>
    <x v="3"/>
    <n v="12"/>
    <n v="8000"/>
    <n v="96000"/>
    <x v="2"/>
    <x v="2"/>
    <x v="1"/>
    <x v="1"/>
  </r>
  <r>
    <s v="09-02-2026"/>
    <n v="3060"/>
    <x v="0"/>
    <x v="0"/>
    <x v="0"/>
    <n v="4"/>
    <n v="5000"/>
    <n v="20000"/>
    <x v="1"/>
    <x v="0"/>
    <x v="0"/>
    <x v="0"/>
  </r>
  <r>
    <d v="2026-07-14T00:00:00"/>
    <n v="3061"/>
    <x v="0"/>
    <x v="0"/>
    <x v="0"/>
    <n v="4"/>
    <n v="2000"/>
    <n v="8000"/>
    <x v="1"/>
    <x v="1"/>
    <x v="0"/>
    <x v="4"/>
  </r>
  <r>
    <s v="13-01-2026"/>
    <n v="3062"/>
    <x v="0"/>
    <x v="0"/>
    <x v="0"/>
    <n v="7"/>
    <n v="2000"/>
    <n v="14000"/>
    <x v="2"/>
    <x v="1"/>
    <x v="0"/>
    <x v="1"/>
  </r>
  <r>
    <s v="18-02-2026"/>
    <n v="3063"/>
    <x v="0"/>
    <x v="0"/>
    <x v="0"/>
    <n v="12"/>
    <n v="1500"/>
    <n v="18000"/>
    <x v="0"/>
    <x v="3"/>
    <x v="0"/>
    <x v="0"/>
  </r>
  <r>
    <s v="06-01-2026"/>
    <n v="3064"/>
    <x v="1"/>
    <x v="0"/>
    <x v="0"/>
    <n v="4"/>
    <n v="800"/>
    <n v="3200"/>
    <x v="2"/>
    <x v="2"/>
    <x v="0"/>
    <x v="1"/>
  </r>
  <r>
    <d v="2026-05-08T00:00:00"/>
    <n v="3065"/>
    <x v="4"/>
    <x v="2"/>
    <x v="3"/>
    <n v="18"/>
    <n v="7000"/>
    <n v="126000"/>
    <x v="2"/>
    <x v="0"/>
    <x v="0"/>
    <x v="6"/>
  </r>
  <r>
    <s v="13-02-2026"/>
    <n v="3066"/>
    <x v="1"/>
    <x v="0"/>
    <x v="0"/>
    <n v="5"/>
    <n v="3000"/>
    <n v="15000"/>
    <x v="1"/>
    <x v="0"/>
    <x v="1"/>
    <x v="0"/>
  </r>
  <r>
    <s v="04-01-2026"/>
    <n v="3067"/>
    <x v="3"/>
    <x v="0"/>
    <x v="2"/>
    <n v="4"/>
    <n v="1500"/>
    <n v="6000"/>
    <x v="3"/>
    <x v="3"/>
    <x v="1"/>
    <x v="1"/>
  </r>
  <r>
    <d v="2026-06-01T00:00:00"/>
    <n v="3068"/>
    <x v="2"/>
    <x v="1"/>
    <x v="1"/>
    <n v="8"/>
    <n v="5000"/>
    <n v="40000"/>
    <x v="2"/>
    <x v="3"/>
    <x v="0"/>
    <x v="7"/>
  </r>
  <r>
    <s v="05-01-2026"/>
    <n v="3069"/>
    <x v="1"/>
    <x v="0"/>
    <x v="0"/>
    <n v="8"/>
    <n v="1500"/>
    <n v="12000"/>
    <x v="2"/>
    <x v="0"/>
    <x v="1"/>
    <x v="1"/>
  </r>
  <r>
    <s v="19-02-2026"/>
    <n v="3070"/>
    <x v="3"/>
    <x v="0"/>
    <x v="2"/>
    <n v="8"/>
    <n v="800"/>
    <n v="6400"/>
    <x v="2"/>
    <x v="2"/>
    <x v="0"/>
    <x v="0"/>
  </r>
  <r>
    <s v="27-02-2026"/>
    <n v="3071"/>
    <x v="0"/>
    <x v="0"/>
    <x v="0"/>
    <n v="7"/>
    <n v="2000"/>
    <n v="14000"/>
    <x v="3"/>
    <x v="1"/>
    <x v="1"/>
    <x v="0"/>
  </r>
  <r>
    <d v="2026-12-24T00:00:00"/>
    <n v="3072"/>
    <x v="5"/>
    <x v="1"/>
    <x v="4"/>
    <n v="18"/>
    <n v="3000"/>
    <n v="54000"/>
    <x v="0"/>
    <x v="2"/>
    <x v="0"/>
    <x v="8"/>
  </r>
  <r>
    <s v="05-01-2026"/>
    <n v="3073"/>
    <x v="4"/>
    <x v="2"/>
    <x v="3"/>
    <n v="2"/>
    <n v="7000"/>
    <n v="14000"/>
    <x v="1"/>
    <x v="3"/>
    <x v="1"/>
    <x v="1"/>
  </r>
  <r>
    <s v="06-02-2026"/>
    <n v="3074"/>
    <x v="6"/>
    <x v="2"/>
    <x v="5"/>
    <n v="19"/>
    <n v="800"/>
    <n v="15200"/>
    <x v="0"/>
    <x v="0"/>
    <x v="0"/>
    <x v="0"/>
  </r>
  <r>
    <s v="23-02-2026"/>
    <n v="3075"/>
    <x v="0"/>
    <x v="0"/>
    <x v="0"/>
    <n v="7"/>
    <n v="500"/>
    <n v="3500"/>
    <x v="3"/>
    <x v="0"/>
    <x v="1"/>
    <x v="0"/>
  </r>
  <r>
    <s v="12-01-2026"/>
    <n v="3076"/>
    <x v="1"/>
    <x v="0"/>
    <x v="0"/>
    <n v="5"/>
    <n v="500"/>
    <n v="2500"/>
    <x v="3"/>
    <x v="1"/>
    <x v="0"/>
    <x v="1"/>
  </r>
  <r>
    <s v="01-02-2026"/>
    <n v="3077"/>
    <x v="6"/>
    <x v="2"/>
    <x v="5"/>
    <n v="12"/>
    <n v="3000"/>
    <n v="36000"/>
    <x v="1"/>
    <x v="2"/>
    <x v="0"/>
    <x v="0"/>
  </r>
  <r>
    <d v="2026-12-23T00:00:00"/>
    <n v="3078"/>
    <x v="1"/>
    <x v="0"/>
    <x v="0"/>
    <n v="13"/>
    <n v="2000"/>
    <n v="26000"/>
    <x v="0"/>
    <x v="3"/>
    <x v="1"/>
    <x v="8"/>
  </r>
  <r>
    <s v="12-01-2026"/>
    <n v="3079"/>
    <x v="0"/>
    <x v="0"/>
    <x v="0"/>
    <n v="5"/>
    <n v="2000"/>
    <n v="10000"/>
    <x v="0"/>
    <x v="3"/>
    <x v="0"/>
    <x v="1"/>
  </r>
  <r>
    <s v="18-01-2026"/>
    <n v="3080"/>
    <x v="7"/>
    <x v="0"/>
    <x v="2"/>
    <n v="12"/>
    <n v="800"/>
    <n v="9600"/>
    <x v="2"/>
    <x v="1"/>
    <x v="1"/>
    <x v="1"/>
  </r>
  <r>
    <s v="02-03-2026"/>
    <n v="3081"/>
    <x v="2"/>
    <x v="1"/>
    <x v="1"/>
    <n v="5"/>
    <n v="3000"/>
    <n v="15000"/>
    <x v="0"/>
    <x v="3"/>
    <x v="1"/>
    <x v="3"/>
  </r>
  <r>
    <d v="2026-12-30T00:00:00"/>
    <n v="3082"/>
    <x v="7"/>
    <x v="0"/>
    <x v="2"/>
    <n v="18"/>
    <n v="5000"/>
    <n v="90000"/>
    <x v="2"/>
    <x v="1"/>
    <x v="0"/>
    <x v="8"/>
  </r>
  <r>
    <s v="12-01-2026"/>
    <n v="3083"/>
    <x v="6"/>
    <x v="2"/>
    <x v="5"/>
    <n v="15"/>
    <n v="2000"/>
    <n v="30000"/>
    <x v="2"/>
    <x v="1"/>
    <x v="1"/>
    <x v="1"/>
  </r>
  <r>
    <s v="23-01-2026"/>
    <n v="3084"/>
    <x v="3"/>
    <x v="0"/>
    <x v="2"/>
    <n v="7"/>
    <n v="2000"/>
    <n v="14000"/>
    <x v="0"/>
    <x v="2"/>
    <x v="0"/>
    <x v="1"/>
  </r>
  <r>
    <s v="28-01-2026"/>
    <n v="3085"/>
    <x v="5"/>
    <x v="1"/>
    <x v="4"/>
    <n v="13"/>
    <n v="1500"/>
    <n v="19500"/>
    <x v="1"/>
    <x v="0"/>
    <x v="0"/>
    <x v="1"/>
  </r>
  <r>
    <d v="2026-11-12T00:00:00"/>
    <n v="3086"/>
    <x v="2"/>
    <x v="1"/>
    <x v="1"/>
    <n v="13"/>
    <n v="500"/>
    <n v="6500"/>
    <x v="1"/>
    <x v="0"/>
    <x v="1"/>
    <x v="9"/>
  </r>
  <r>
    <s v="05-02-2026"/>
    <n v="3087"/>
    <x v="6"/>
    <x v="2"/>
    <x v="5"/>
    <n v="12"/>
    <n v="500"/>
    <n v="6000"/>
    <x v="2"/>
    <x v="1"/>
    <x v="0"/>
    <x v="0"/>
  </r>
  <r>
    <d v="2026-11-20T00:00:00"/>
    <n v="3088"/>
    <x v="3"/>
    <x v="0"/>
    <x v="2"/>
    <n v="3"/>
    <n v="800"/>
    <n v="2400"/>
    <x v="3"/>
    <x v="2"/>
    <x v="0"/>
    <x v="9"/>
  </r>
  <r>
    <d v="2026-10-02T00:00:00"/>
    <n v="3089"/>
    <x v="3"/>
    <x v="0"/>
    <x v="2"/>
    <n v="8"/>
    <n v="800"/>
    <n v="6400"/>
    <x v="3"/>
    <x v="2"/>
    <x v="0"/>
    <x v="10"/>
  </r>
  <r>
    <s v="03-02-2026"/>
    <n v="3090"/>
    <x v="7"/>
    <x v="0"/>
    <x v="2"/>
    <n v="11"/>
    <n v="1500"/>
    <n v="16500"/>
    <x v="1"/>
    <x v="3"/>
    <x v="0"/>
    <x v="0"/>
  </r>
  <r>
    <d v="2026-10-19T00:00:00"/>
    <n v="3091"/>
    <x v="7"/>
    <x v="0"/>
    <x v="2"/>
    <n v="12"/>
    <n v="5000"/>
    <n v="60000"/>
    <x v="3"/>
    <x v="3"/>
    <x v="1"/>
    <x v="10"/>
  </r>
  <r>
    <s v="19-01-2026"/>
    <n v="3092"/>
    <x v="7"/>
    <x v="0"/>
    <x v="2"/>
    <n v="20"/>
    <n v="1500"/>
    <n v="30000"/>
    <x v="2"/>
    <x v="2"/>
    <x v="0"/>
    <x v="1"/>
  </r>
  <r>
    <s v="04-01-2026"/>
    <n v="3093"/>
    <x v="1"/>
    <x v="0"/>
    <x v="0"/>
    <n v="17"/>
    <n v="2000"/>
    <n v="34000"/>
    <x v="0"/>
    <x v="1"/>
    <x v="0"/>
    <x v="1"/>
  </r>
  <r>
    <s v="07-02-2026"/>
    <n v="3094"/>
    <x v="6"/>
    <x v="2"/>
    <x v="5"/>
    <n v="4"/>
    <n v="2000"/>
    <n v="8000"/>
    <x v="0"/>
    <x v="0"/>
    <x v="0"/>
    <x v="0"/>
  </r>
  <r>
    <s v="02-03-2026"/>
    <n v="3095"/>
    <x v="5"/>
    <x v="1"/>
    <x v="4"/>
    <n v="7"/>
    <n v="5000"/>
    <n v="35000"/>
    <x v="3"/>
    <x v="2"/>
    <x v="0"/>
    <x v="3"/>
  </r>
  <r>
    <d v="2026-10-09T00:00:00"/>
    <n v="3096"/>
    <x v="1"/>
    <x v="0"/>
    <x v="0"/>
    <n v="14"/>
    <n v="3000"/>
    <n v="42000"/>
    <x v="1"/>
    <x v="3"/>
    <x v="1"/>
    <x v="10"/>
  </r>
  <r>
    <s v="14-01-2026"/>
    <n v="3097"/>
    <x v="6"/>
    <x v="2"/>
    <x v="5"/>
    <n v="3"/>
    <n v="3000"/>
    <n v="9000"/>
    <x v="0"/>
    <x v="3"/>
    <x v="1"/>
    <x v="1"/>
  </r>
  <r>
    <d v="2026-11-16T00:00:00"/>
    <n v="3098"/>
    <x v="3"/>
    <x v="0"/>
    <x v="2"/>
    <n v="2"/>
    <n v="1500"/>
    <n v="3000"/>
    <x v="0"/>
    <x v="2"/>
    <x v="0"/>
    <x v="9"/>
  </r>
  <r>
    <s v="04-01-2026"/>
    <n v="3099"/>
    <x v="0"/>
    <x v="0"/>
    <x v="0"/>
    <n v="18"/>
    <n v="800"/>
    <n v="14400"/>
    <x v="3"/>
    <x v="3"/>
    <x v="1"/>
    <x v="1"/>
  </r>
  <r>
    <d v="2026-12-27T00:00:00"/>
    <n v="3100"/>
    <x v="1"/>
    <x v="0"/>
    <x v="0"/>
    <n v="12"/>
    <n v="1500"/>
    <n v="18000"/>
    <x v="0"/>
    <x v="1"/>
    <x v="1"/>
    <x v="8"/>
  </r>
  <r>
    <s v="22-01-2026"/>
    <n v="3101"/>
    <x v="4"/>
    <x v="2"/>
    <x v="3"/>
    <n v="2"/>
    <n v="8000"/>
    <n v="16000"/>
    <x v="3"/>
    <x v="0"/>
    <x v="0"/>
    <x v="1"/>
  </r>
  <r>
    <s v="30-01-2026"/>
    <n v="3102"/>
    <x v="6"/>
    <x v="2"/>
    <x v="5"/>
    <n v="15"/>
    <n v="3000"/>
    <n v="45000"/>
    <x v="1"/>
    <x v="1"/>
    <x v="1"/>
    <x v="1"/>
  </r>
  <r>
    <s v="15-02-2026"/>
    <n v="3103"/>
    <x v="6"/>
    <x v="2"/>
    <x v="5"/>
    <n v="17"/>
    <n v="500"/>
    <n v="8500"/>
    <x v="0"/>
    <x v="2"/>
    <x v="1"/>
    <x v="0"/>
  </r>
  <r>
    <s v="07-02-2026"/>
    <n v="3104"/>
    <x v="7"/>
    <x v="0"/>
    <x v="2"/>
    <n v="16"/>
    <n v="500"/>
    <n v="8000"/>
    <x v="1"/>
    <x v="0"/>
    <x v="0"/>
    <x v="0"/>
  </r>
  <r>
    <s v="01-02-2026"/>
    <n v="3105"/>
    <x v="3"/>
    <x v="0"/>
    <x v="2"/>
    <n v="4"/>
    <n v="1500"/>
    <n v="6000"/>
    <x v="2"/>
    <x v="2"/>
    <x v="0"/>
    <x v="0"/>
  </r>
  <r>
    <s v="08-02-2026"/>
    <n v="3106"/>
    <x v="4"/>
    <x v="2"/>
    <x v="3"/>
    <n v="8"/>
    <n v="8000"/>
    <n v="64000"/>
    <x v="1"/>
    <x v="3"/>
    <x v="1"/>
    <x v="0"/>
  </r>
  <r>
    <s v="29-01-2026"/>
    <n v="3107"/>
    <x v="2"/>
    <x v="1"/>
    <x v="1"/>
    <n v="20"/>
    <n v="500"/>
    <n v="10000"/>
    <x v="1"/>
    <x v="2"/>
    <x v="1"/>
    <x v="1"/>
  </r>
  <r>
    <s v="29-01-2026"/>
    <n v="3108"/>
    <x v="6"/>
    <x v="2"/>
    <x v="5"/>
    <n v="18"/>
    <n v="800"/>
    <n v="14400"/>
    <x v="2"/>
    <x v="3"/>
    <x v="0"/>
    <x v="1"/>
  </r>
  <r>
    <d v="2026-12-14T00:00:00"/>
    <n v="3109"/>
    <x v="5"/>
    <x v="1"/>
    <x v="4"/>
    <n v="9"/>
    <n v="1500"/>
    <n v="13500"/>
    <x v="0"/>
    <x v="2"/>
    <x v="0"/>
    <x v="8"/>
  </r>
  <r>
    <s v="03-01-2026"/>
    <n v="3110"/>
    <x v="3"/>
    <x v="0"/>
    <x v="2"/>
    <n v="13"/>
    <n v="1500"/>
    <n v="19500"/>
    <x v="0"/>
    <x v="3"/>
    <x v="1"/>
    <x v="1"/>
  </r>
  <r>
    <s v="07-01-2026"/>
    <n v="3111"/>
    <x v="7"/>
    <x v="0"/>
    <x v="2"/>
    <n v="16"/>
    <n v="500"/>
    <n v="8000"/>
    <x v="1"/>
    <x v="3"/>
    <x v="0"/>
    <x v="1"/>
  </r>
  <r>
    <s v="05-02-2026"/>
    <n v="3112"/>
    <x v="0"/>
    <x v="0"/>
    <x v="0"/>
    <n v="18"/>
    <n v="2000"/>
    <n v="36000"/>
    <x v="3"/>
    <x v="0"/>
    <x v="1"/>
    <x v="0"/>
  </r>
  <r>
    <s v="24-02-2026"/>
    <n v="3113"/>
    <x v="2"/>
    <x v="1"/>
    <x v="1"/>
    <n v="7"/>
    <n v="500"/>
    <n v="3500"/>
    <x v="2"/>
    <x v="3"/>
    <x v="1"/>
    <x v="0"/>
  </r>
  <r>
    <s v="26-02-2026"/>
    <n v="3114"/>
    <x v="1"/>
    <x v="0"/>
    <x v="0"/>
    <n v="8"/>
    <n v="3000"/>
    <n v="24000"/>
    <x v="2"/>
    <x v="3"/>
    <x v="0"/>
    <x v="0"/>
  </r>
  <r>
    <s v="18-02-2026"/>
    <n v="3115"/>
    <x v="1"/>
    <x v="0"/>
    <x v="0"/>
    <n v="10"/>
    <n v="500"/>
    <n v="5000"/>
    <x v="3"/>
    <x v="3"/>
    <x v="1"/>
    <x v="0"/>
  </r>
  <r>
    <d v="2026-12-25T00:00:00"/>
    <n v="3116"/>
    <x v="0"/>
    <x v="0"/>
    <x v="0"/>
    <n v="5"/>
    <n v="1500"/>
    <n v="7500"/>
    <x v="0"/>
    <x v="1"/>
    <x v="0"/>
    <x v="8"/>
  </r>
  <r>
    <s v="12-01-2026"/>
    <n v="3117"/>
    <x v="7"/>
    <x v="0"/>
    <x v="2"/>
    <n v="6"/>
    <n v="500"/>
    <n v="3000"/>
    <x v="1"/>
    <x v="3"/>
    <x v="0"/>
    <x v="1"/>
  </r>
  <r>
    <s v="20-01-2026"/>
    <n v="3118"/>
    <x v="2"/>
    <x v="1"/>
    <x v="1"/>
    <n v="7"/>
    <n v="800"/>
    <n v="5600"/>
    <x v="2"/>
    <x v="0"/>
    <x v="0"/>
    <x v="1"/>
  </r>
  <r>
    <s v="23-01-2026"/>
    <n v="3119"/>
    <x v="7"/>
    <x v="0"/>
    <x v="2"/>
    <n v="4"/>
    <n v="5000"/>
    <n v="20000"/>
    <x v="1"/>
    <x v="3"/>
    <x v="1"/>
    <x v="1"/>
  </r>
  <r>
    <d v="2026-12-06T00:00:00"/>
    <n v="3120"/>
    <x v="7"/>
    <x v="0"/>
    <x v="2"/>
    <n v="5"/>
    <n v="2000"/>
    <n v="10000"/>
    <x v="0"/>
    <x v="0"/>
    <x v="0"/>
    <x v="8"/>
  </r>
  <r>
    <s v="11-02-2026"/>
    <n v="3121"/>
    <x v="5"/>
    <x v="1"/>
    <x v="4"/>
    <n v="15"/>
    <n v="1500"/>
    <n v="22500"/>
    <x v="0"/>
    <x v="0"/>
    <x v="1"/>
    <x v="0"/>
  </r>
  <r>
    <s v="03-02-2026"/>
    <n v="3122"/>
    <x v="0"/>
    <x v="0"/>
    <x v="0"/>
    <n v="17"/>
    <n v="2000"/>
    <n v="34000"/>
    <x v="3"/>
    <x v="1"/>
    <x v="0"/>
    <x v="0"/>
  </r>
  <r>
    <s v="18-01-2026"/>
    <n v="3123"/>
    <x v="1"/>
    <x v="0"/>
    <x v="0"/>
    <n v="4"/>
    <n v="1500"/>
    <n v="6000"/>
    <x v="1"/>
    <x v="1"/>
    <x v="1"/>
    <x v="1"/>
  </r>
  <r>
    <d v="2026-12-04T00:00:00"/>
    <n v="3124"/>
    <x v="7"/>
    <x v="0"/>
    <x v="2"/>
    <n v="14"/>
    <n v="3000"/>
    <n v="42000"/>
    <x v="3"/>
    <x v="3"/>
    <x v="1"/>
    <x v="8"/>
  </r>
  <r>
    <s v="02-03-2026"/>
    <n v="3125"/>
    <x v="5"/>
    <x v="1"/>
    <x v="4"/>
    <n v="3"/>
    <n v="2000"/>
    <n v="6000"/>
    <x v="3"/>
    <x v="0"/>
    <x v="1"/>
    <x v="3"/>
  </r>
  <r>
    <s v="18-01-2026"/>
    <n v="3126"/>
    <x v="1"/>
    <x v="0"/>
    <x v="0"/>
    <n v="7"/>
    <n v="800"/>
    <n v="5600"/>
    <x v="3"/>
    <x v="1"/>
    <x v="1"/>
    <x v="1"/>
  </r>
  <r>
    <s v="10-01-2026"/>
    <n v="3127"/>
    <x v="2"/>
    <x v="1"/>
    <x v="1"/>
    <n v="6"/>
    <n v="3000"/>
    <n v="18000"/>
    <x v="2"/>
    <x v="2"/>
    <x v="1"/>
    <x v="1"/>
  </r>
  <r>
    <s v="29-01-2026"/>
    <n v="3128"/>
    <x v="6"/>
    <x v="2"/>
    <x v="5"/>
    <n v="4"/>
    <n v="5000"/>
    <n v="20000"/>
    <x v="1"/>
    <x v="2"/>
    <x v="0"/>
    <x v="1"/>
  </r>
  <r>
    <d v="2026-12-01T00:00:00"/>
    <n v="3129"/>
    <x v="5"/>
    <x v="1"/>
    <x v="4"/>
    <n v="18"/>
    <n v="2000"/>
    <n v="36000"/>
    <x v="2"/>
    <x v="2"/>
    <x v="0"/>
    <x v="8"/>
  </r>
  <r>
    <s v="08-01-2026"/>
    <n v="3130"/>
    <x v="1"/>
    <x v="0"/>
    <x v="0"/>
    <n v="16"/>
    <n v="500"/>
    <n v="8000"/>
    <x v="2"/>
    <x v="1"/>
    <x v="0"/>
    <x v="1"/>
  </r>
  <r>
    <s v="03-01-2026"/>
    <n v="3131"/>
    <x v="4"/>
    <x v="2"/>
    <x v="3"/>
    <n v="5"/>
    <n v="8000"/>
    <n v="40000"/>
    <x v="3"/>
    <x v="3"/>
    <x v="0"/>
    <x v="1"/>
  </r>
  <r>
    <s v="12-02-2026"/>
    <n v="3132"/>
    <x v="4"/>
    <x v="2"/>
    <x v="3"/>
    <n v="5"/>
    <n v="6000"/>
    <n v="30000"/>
    <x v="1"/>
    <x v="2"/>
    <x v="0"/>
    <x v="0"/>
  </r>
  <r>
    <s v="19-02-2026"/>
    <n v="3133"/>
    <x v="6"/>
    <x v="2"/>
    <x v="5"/>
    <n v="5"/>
    <n v="2000"/>
    <n v="10000"/>
    <x v="3"/>
    <x v="2"/>
    <x v="1"/>
    <x v="0"/>
  </r>
  <r>
    <d v="2026-11-19T00:00:00"/>
    <n v="3134"/>
    <x v="4"/>
    <x v="2"/>
    <x v="3"/>
    <n v="9"/>
    <n v="6000"/>
    <n v="54000"/>
    <x v="3"/>
    <x v="2"/>
    <x v="0"/>
    <x v="9"/>
  </r>
  <r>
    <s v="13-01-2026"/>
    <n v="3135"/>
    <x v="4"/>
    <x v="2"/>
    <x v="3"/>
    <n v="10"/>
    <n v="6000"/>
    <n v="60000"/>
    <x v="1"/>
    <x v="2"/>
    <x v="0"/>
    <x v="1"/>
  </r>
  <r>
    <s v="20-02-2026"/>
    <n v="3136"/>
    <x v="7"/>
    <x v="0"/>
    <x v="2"/>
    <n v="9"/>
    <n v="1500"/>
    <n v="13500"/>
    <x v="0"/>
    <x v="1"/>
    <x v="0"/>
    <x v="0"/>
  </r>
  <r>
    <s v="25-01-2026"/>
    <n v="3137"/>
    <x v="6"/>
    <x v="2"/>
    <x v="5"/>
    <n v="19"/>
    <n v="800"/>
    <n v="15200"/>
    <x v="1"/>
    <x v="0"/>
    <x v="1"/>
    <x v="1"/>
  </r>
  <r>
    <s v="04-02-2026"/>
    <n v="3138"/>
    <x v="3"/>
    <x v="0"/>
    <x v="2"/>
    <n v="2"/>
    <n v="800"/>
    <n v="1600"/>
    <x v="1"/>
    <x v="1"/>
    <x v="1"/>
    <x v="0"/>
  </r>
  <r>
    <d v="2026-11-19T00:00:00"/>
    <n v="3139"/>
    <x v="4"/>
    <x v="2"/>
    <x v="3"/>
    <n v="14"/>
    <n v="7000"/>
    <n v="98000"/>
    <x v="3"/>
    <x v="1"/>
    <x v="0"/>
    <x v="9"/>
  </r>
  <r>
    <s v="03-01-2026"/>
    <n v="3140"/>
    <x v="3"/>
    <x v="0"/>
    <x v="2"/>
    <n v="11"/>
    <n v="1500"/>
    <n v="16500"/>
    <x v="0"/>
    <x v="0"/>
    <x v="0"/>
    <x v="1"/>
  </r>
  <r>
    <d v="2026-11-23T00:00:00"/>
    <n v="3141"/>
    <x v="2"/>
    <x v="1"/>
    <x v="1"/>
    <n v="10"/>
    <n v="500"/>
    <n v="5000"/>
    <x v="3"/>
    <x v="0"/>
    <x v="1"/>
    <x v="9"/>
  </r>
  <r>
    <s v="14-02-2026"/>
    <n v="3142"/>
    <x v="2"/>
    <x v="1"/>
    <x v="1"/>
    <n v="7"/>
    <n v="2000"/>
    <n v="14000"/>
    <x v="1"/>
    <x v="2"/>
    <x v="0"/>
    <x v="0"/>
  </r>
  <r>
    <d v="2026-10-07T00:00:00"/>
    <n v="3143"/>
    <x v="7"/>
    <x v="0"/>
    <x v="2"/>
    <n v="8"/>
    <n v="1500"/>
    <n v="12000"/>
    <x v="2"/>
    <x v="0"/>
    <x v="1"/>
    <x v="10"/>
  </r>
  <r>
    <s v="16-01-2026"/>
    <n v="3144"/>
    <x v="5"/>
    <x v="1"/>
    <x v="4"/>
    <n v="1"/>
    <n v="1500"/>
    <n v="1500"/>
    <x v="3"/>
    <x v="0"/>
    <x v="0"/>
    <x v="1"/>
  </r>
  <r>
    <s v="26-02-2026"/>
    <n v="3145"/>
    <x v="0"/>
    <x v="0"/>
    <x v="0"/>
    <n v="5"/>
    <n v="2000"/>
    <n v="10000"/>
    <x v="3"/>
    <x v="0"/>
    <x v="1"/>
    <x v="0"/>
  </r>
  <r>
    <s v="13-01-2026"/>
    <n v="3146"/>
    <x v="4"/>
    <x v="2"/>
    <x v="3"/>
    <n v="17"/>
    <n v="7000"/>
    <n v="119000"/>
    <x v="2"/>
    <x v="3"/>
    <x v="1"/>
    <x v="1"/>
  </r>
  <r>
    <s v="26-02-2026"/>
    <n v="3147"/>
    <x v="7"/>
    <x v="0"/>
    <x v="2"/>
    <n v="13"/>
    <n v="2000"/>
    <n v="26000"/>
    <x v="3"/>
    <x v="0"/>
    <x v="1"/>
    <x v="0"/>
  </r>
  <r>
    <s v="19-02-2026"/>
    <n v="3148"/>
    <x v="2"/>
    <x v="1"/>
    <x v="1"/>
    <n v="6"/>
    <n v="3000"/>
    <n v="18000"/>
    <x v="1"/>
    <x v="2"/>
    <x v="0"/>
    <x v="0"/>
  </r>
  <r>
    <s v="15-01-2026"/>
    <n v="3149"/>
    <x v="3"/>
    <x v="0"/>
    <x v="2"/>
    <n v="1"/>
    <n v="1500"/>
    <n v="1500"/>
    <x v="0"/>
    <x v="2"/>
    <x v="0"/>
    <x v="1"/>
  </r>
  <r>
    <s v="22-02-2026"/>
    <n v="3150"/>
    <x v="1"/>
    <x v="0"/>
    <x v="0"/>
    <n v="14"/>
    <n v="5000"/>
    <n v="70000"/>
    <x v="0"/>
    <x v="0"/>
    <x v="1"/>
    <x v="0"/>
  </r>
  <r>
    <s v="18-01-2026"/>
    <n v="3151"/>
    <x v="3"/>
    <x v="0"/>
    <x v="2"/>
    <n v="8"/>
    <n v="500"/>
    <n v="4000"/>
    <x v="0"/>
    <x v="2"/>
    <x v="1"/>
    <x v="1"/>
  </r>
  <r>
    <s v="06-02-2026"/>
    <n v="3152"/>
    <x v="2"/>
    <x v="1"/>
    <x v="1"/>
    <n v="5"/>
    <n v="500"/>
    <n v="2500"/>
    <x v="1"/>
    <x v="1"/>
    <x v="0"/>
    <x v="0"/>
  </r>
  <r>
    <s v="01-01-2026"/>
    <n v="3153"/>
    <x v="7"/>
    <x v="0"/>
    <x v="2"/>
    <n v="2"/>
    <n v="1500"/>
    <n v="3000"/>
    <x v="2"/>
    <x v="0"/>
    <x v="1"/>
    <x v="1"/>
  </r>
  <r>
    <s v="25-02-2026"/>
    <n v="3154"/>
    <x v="6"/>
    <x v="2"/>
    <x v="5"/>
    <n v="6"/>
    <n v="2000"/>
    <n v="12000"/>
    <x v="2"/>
    <x v="2"/>
    <x v="1"/>
    <x v="0"/>
  </r>
  <r>
    <s v="17-02-2026"/>
    <n v="3155"/>
    <x v="0"/>
    <x v="0"/>
    <x v="0"/>
    <n v="14"/>
    <n v="3000"/>
    <n v="42000"/>
    <x v="2"/>
    <x v="3"/>
    <x v="0"/>
    <x v="0"/>
  </r>
  <r>
    <s v="14-01-2026"/>
    <n v="3156"/>
    <x v="2"/>
    <x v="1"/>
    <x v="1"/>
    <n v="18"/>
    <n v="500"/>
    <n v="9000"/>
    <x v="1"/>
    <x v="3"/>
    <x v="0"/>
    <x v="1"/>
  </r>
  <r>
    <s v="22-01-2026"/>
    <n v="3157"/>
    <x v="3"/>
    <x v="0"/>
    <x v="2"/>
    <n v="20"/>
    <n v="800"/>
    <n v="16000"/>
    <x v="3"/>
    <x v="1"/>
    <x v="0"/>
    <x v="1"/>
  </r>
  <r>
    <s v="16-02-2026"/>
    <n v="3158"/>
    <x v="0"/>
    <x v="0"/>
    <x v="0"/>
    <n v="13"/>
    <n v="5000"/>
    <n v="65000"/>
    <x v="0"/>
    <x v="3"/>
    <x v="0"/>
    <x v="0"/>
  </r>
  <r>
    <s v="01-01-2026"/>
    <n v="3159"/>
    <x v="5"/>
    <x v="1"/>
    <x v="4"/>
    <n v="1"/>
    <n v="2000"/>
    <n v="2000"/>
    <x v="0"/>
    <x v="2"/>
    <x v="1"/>
    <x v="1"/>
  </r>
  <r>
    <s v="02-03-2026"/>
    <n v="3160"/>
    <x v="0"/>
    <x v="0"/>
    <x v="0"/>
    <n v="8"/>
    <n v="800"/>
    <n v="6400"/>
    <x v="2"/>
    <x v="1"/>
    <x v="0"/>
    <x v="3"/>
  </r>
  <r>
    <s v="27-01-2026"/>
    <n v="3161"/>
    <x v="7"/>
    <x v="0"/>
    <x v="2"/>
    <n v="14"/>
    <n v="500"/>
    <n v="7000"/>
    <x v="0"/>
    <x v="1"/>
    <x v="1"/>
    <x v="1"/>
  </r>
  <r>
    <s v="03-01-2026"/>
    <n v="3162"/>
    <x v="0"/>
    <x v="0"/>
    <x v="0"/>
    <n v="17"/>
    <n v="500"/>
    <n v="8500"/>
    <x v="2"/>
    <x v="2"/>
    <x v="1"/>
    <x v="1"/>
  </r>
  <r>
    <s v="29-01-2026"/>
    <n v="3163"/>
    <x v="4"/>
    <x v="2"/>
    <x v="3"/>
    <n v="7"/>
    <n v="8000"/>
    <n v="56000"/>
    <x v="0"/>
    <x v="3"/>
    <x v="0"/>
    <x v="1"/>
  </r>
  <r>
    <s v="01-03-2026"/>
    <n v="3164"/>
    <x v="5"/>
    <x v="1"/>
    <x v="4"/>
    <n v="15"/>
    <n v="5000"/>
    <n v="75000"/>
    <x v="3"/>
    <x v="0"/>
    <x v="1"/>
    <x v="3"/>
  </r>
  <r>
    <s v="23-02-2026"/>
    <n v="3165"/>
    <x v="1"/>
    <x v="0"/>
    <x v="0"/>
    <n v="8"/>
    <n v="2000"/>
    <n v="16000"/>
    <x v="1"/>
    <x v="2"/>
    <x v="0"/>
    <x v="0"/>
  </r>
  <r>
    <s v="11-01-2026"/>
    <n v="3166"/>
    <x v="6"/>
    <x v="2"/>
    <x v="5"/>
    <n v="3"/>
    <n v="3000"/>
    <n v="9000"/>
    <x v="3"/>
    <x v="1"/>
    <x v="0"/>
    <x v="1"/>
  </r>
  <r>
    <s v="31-01-2026"/>
    <n v="3167"/>
    <x v="6"/>
    <x v="2"/>
    <x v="5"/>
    <n v="6"/>
    <n v="800"/>
    <n v="4800"/>
    <x v="2"/>
    <x v="0"/>
    <x v="1"/>
    <x v="1"/>
  </r>
  <r>
    <s v="15-01-2026"/>
    <n v="3168"/>
    <x v="2"/>
    <x v="1"/>
    <x v="1"/>
    <n v="13"/>
    <n v="5000"/>
    <n v="65000"/>
    <x v="1"/>
    <x v="2"/>
    <x v="1"/>
    <x v="1"/>
  </r>
  <r>
    <s v="26-02-2026"/>
    <n v="3169"/>
    <x v="3"/>
    <x v="0"/>
    <x v="2"/>
    <n v="3"/>
    <n v="1500"/>
    <n v="4500"/>
    <x v="2"/>
    <x v="3"/>
    <x v="1"/>
    <x v="0"/>
  </r>
  <r>
    <s v="04-01-2026"/>
    <n v="3170"/>
    <x v="7"/>
    <x v="0"/>
    <x v="2"/>
    <n v="1"/>
    <n v="800"/>
    <n v="800"/>
    <x v="3"/>
    <x v="0"/>
    <x v="1"/>
    <x v="1"/>
  </r>
  <r>
    <s v="24-02-2026"/>
    <n v="3171"/>
    <x v="1"/>
    <x v="0"/>
    <x v="0"/>
    <n v="6"/>
    <n v="800"/>
    <n v="4800"/>
    <x v="3"/>
    <x v="0"/>
    <x v="1"/>
    <x v="0"/>
  </r>
  <r>
    <d v="2026-10-12T00:00:00"/>
    <n v="3172"/>
    <x v="5"/>
    <x v="1"/>
    <x v="4"/>
    <n v="19"/>
    <n v="1500"/>
    <n v="28500"/>
    <x v="0"/>
    <x v="2"/>
    <x v="1"/>
    <x v="10"/>
  </r>
  <r>
    <s v="21-02-2026"/>
    <n v="3173"/>
    <x v="0"/>
    <x v="0"/>
    <x v="0"/>
    <n v="20"/>
    <n v="1500"/>
    <n v="30000"/>
    <x v="1"/>
    <x v="2"/>
    <x v="0"/>
    <x v="0"/>
  </r>
  <r>
    <s v="16-02-2026"/>
    <n v="3174"/>
    <x v="2"/>
    <x v="1"/>
    <x v="1"/>
    <n v="13"/>
    <n v="800"/>
    <n v="10400"/>
    <x v="0"/>
    <x v="0"/>
    <x v="0"/>
    <x v="0"/>
  </r>
  <r>
    <s v="27-01-2026"/>
    <n v="3175"/>
    <x v="7"/>
    <x v="0"/>
    <x v="2"/>
    <n v="6"/>
    <n v="500"/>
    <n v="3000"/>
    <x v="2"/>
    <x v="0"/>
    <x v="0"/>
    <x v="1"/>
  </r>
  <r>
    <d v="2026-04-09T00:00:00"/>
    <n v="3176"/>
    <x v="1"/>
    <x v="0"/>
    <x v="0"/>
    <n v="20"/>
    <n v="5000"/>
    <n v="100000"/>
    <x v="2"/>
    <x v="3"/>
    <x v="1"/>
    <x v="2"/>
  </r>
  <r>
    <s v="18-01-2026"/>
    <n v="3177"/>
    <x v="3"/>
    <x v="0"/>
    <x v="2"/>
    <n v="12"/>
    <n v="500"/>
    <n v="6000"/>
    <x v="1"/>
    <x v="0"/>
    <x v="0"/>
    <x v="1"/>
  </r>
  <r>
    <s v="26-02-2026"/>
    <n v="3178"/>
    <x v="5"/>
    <x v="1"/>
    <x v="4"/>
    <n v="8"/>
    <n v="800"/>
    <n v="6400"/>
    <x v="0"/>
    <x v="2"/>
    <x v="1"/>
    <x v="0"/>
  </r>
  <r>
    <s v="24-01-2026"/>
    <n v="3179"/>
    <x v="1"/>
    <x v="0"/>
    <x v="0"/>
    <n v="19"/>
    <n v="5000"/>
    <n v="95000"/>
    <x v="2"/>
    <x v="3"/>
    <x v="1"/>
    <x v="1"/>
  </r>
  <r>
    <d v="2026-08-07T00:00:00"/>
    <n v="3180"/>
    <x v="6"/>
    <x v="2"/>
    <x v="5"/>
    <n v="9"/>
    <n v="1500"/>
    <n v="13500"/>
    <x v="2"/>
    <x v="0"/>
    <x v="1"/>
    <x v="5"/>
  </r>
  <r>
    <s v="15-01-2026"/>
    <n v="3181"/>
    <x v="7"/>
    <x v="0"/>
    <x v="2"/>
    <n v="6"/>
    <n v="800"/>
    <n v="4800"/>
    <x v="3"/>
    <x v="0"/>
    <x v="0"/>
    <x v="1"/>
  </r>
  <r>
    <d v="2026-08-12T00:00:00"/>
    <n v="3182"/>
    <x v="5"/>
    <x v="1"/>
    <x v="4"/>
    <n v="2"/>
    <n v="5000"/>
    <n v="10000"/>
    <x v="1"/>
    <x v="1"/>
    <x v="0"/>
    <x v="5"/>
  </r>
  <r>
    <s v="01-02-2026"/>
    <n v="3183"/>
    <x v="4"/>
    <x v="2"/>
    <x v="3"/>
    <n v="2"/>
    <n v="6000"/>
    <n v="12000"/>
    <x v="1"/>
    <x v="2"/>
    <x v="0"/>
    <x v="0"/>
  </r>
  <r>
    <s v="18-01-2026"/>
    <n v="3184"/>
    <x v="5"/>
    <x v="1"/>
    <x v="4"/>
    <n v="4"/>
    <n v="500"/>
    <n v="2000"/>
    <x v="0"/>
    <x v="3"/>
    <x v="1"/>
    <x v="1"/>
  </r>
  <r>
    <s v="01-03-2026"/>
    <n v="3185"/>
    <x v="0"/>
    <x v="0"/>
    <x v="0"/>
    <n v="3"/>
    <n v="5000"/>
    <n v="15000"/>
    <x v="2"/>
    <x v="2"/>
    <x v="0"/>
    <x v="3"/>
  </r>
  <r>
    <d v="2026-05-25T00:00:00"/>
    <n v="3186"/>
    <x v="5"/>
    <x v="1"/>
    <x v="4"/>
    <n v="17"/>
    <n v="3000"/>
    <n v="51000"/>
    <x v="3"/>
    <x v="0"/>
    <x v="0"/>
    <x v="6"/>
  </r>
  <r>
    <s v="28-02-2026"/>
    <n v="3187"/>
    <x v="0"/>
    <x v="0"/>
    <x v="0"/>
    <n v="17"/>
    <n v="3000"/>
    <n v="51000"/>
    <x v="0"/>
    <x v="0"/>
    <x v="1"/>
    <x v="0"/>
  </r>
  <r>
    <d v="2026-09-04T00:00:00"/>
    <n v="3188"/>
    <x v="6"/>
    <x v="2"/>
    <x v="5"/>
    <n v="16"/>
    <n v="5000"/>
    <n v="80000"/>
    <x v="3"/>
    <x v="1"/>
    <x v="0"/>
    <x v="11"/>
  </r>
  <r>
    <d v="2026-09-07T00:00:00"/>
    <n v="3189"/>
    <x v="7"/>
    <x v="0"/>
    <x v="2"/>
    <n v="18"/>
    <n v="500"/>
    <n v="9000"/>
    <x v="0"/>
    <x v="2"/>
    <x v="0"/>
    <x v="11"/>
  </r>
  <r>
    <s v="01-03-2026"/>
    <n v="3190"/>
    <x v="5"/>
    <x v="1"/>
    <x v="4"/>
    <n v="17"/>
    <n v="500"/>
    <n v="8500"/>
    <x v="1"/>
    <x v="2"/>
    <x v="0"/>
    <x v="3"/>
  </r>
  <r>
    <d v="2026-08-22T00:00:00"/>
    <n v="3191"/>
    <x v="3"/>
    <x v="0"/>
    <x v="2"/>
    <n v="6"/>
    <n v="1500"/>
    <n v="9000"/>
    <x v="3"/>
    <x v="2"/>
    <x v="0"/>
    <x v="5"/>
  </r>
  <r>
    <s v="22-01-2026"/>
    <n v="3192"/>
    <x v="0"/>
    <x v="0"/>
    <x v="0"/>
    <n v="7"/>
    <n v="500"/>
    <n v="3500"/>
    <x v="0"/>
    <x v="0"/>
    <x v="1"/>
    <x v="1"/>
  </r>
  <r>
    <d v="2026-07-06T00:00:00"/>
    <n v="3193"/>
    <x v="2"/>
    <x v="1"/>
    <x v="1"/>
    <n v="20"/>
    <n v="3000"/>
    <n v="60000"/>
    <x v="1"/>
    <x v="3"/>
    <x v="0"/>
    <x v="4"/>
  </r>
  <r>
    <s v="20-01-2026"/>
    <n v="3194"/>
    <x v="1"/>
    <x v="0"/>
    <x v="0"/>
    <n v="16"/>
    <n v="2000"/>
    <n v="32000"/>
    <x v="1"/>
    <x v="3"/>
    <x v="1"/>
    <x v="1"/>
  </r>
  <r>
    <d v="2026-07-14T00:00:00"/>
    <n v="3195"/>
    <x v="2"/>
    <x v="1"/>
    <x v="1"/>
    <n v="15"/>
    <n v="800"/>
    <n v="12000"/>
    <x v="3"/>
    <x v="0"/>
    <x v="0"/>
    <x v="4"/>
  </r>
  <r>
    <d v="2026-07-14T00:00:00"/>
    <n v="3196"/>
    <x v="4"/>
    <x v="2"/>
    <x v="3"/>
    <n v="8"/>
    <n v="7000"/>
    <n v="56000"/>
    <x v="1"/>
    <x v="0"/>
    <x v="0"/>
    <x v="4"/>
  </r>
  <r>
    <s v="24-02-2026"/>
    <n v="3197"/>
    <x v="4"/>
    <x v="2"/>
    <x v="3"/>
    <n v="14"/>
    <n v="6000"/>
    <n v="84000"/>
    <x v="1"/>
    <x v="1"/>
    <x v="0"/>
    <x v="0"/>
  </r>
  <r>
    <s v="13-02-2026"/>
    <n v="3198"/>
    <x v="4"/>
    <x v="2"/>
    <x v="3"/>
    <n v="18"/>
    <n v="7000"/>
    <n v="126000"/>
    <x v="3"/>
    <x v="2"/>
    <x v="1"/>
    <x v="0"/>
  </r>
  <r>
    <d v="2026-06-18T00:00:00"/>
    <n v="3199"/>
    <x v="7"/>
    <x v="0"/>
    <x v="2"/>
    <n v="7"/>
    <n v="1500"/>
    <n v="10500"/>
    <x v="3"/>
    <x v="3"/>
    <x v="1"/>
    <x v="7"/>
  </r>
  <r>
    <d v="2026-05-14T00:00:00"/>
    <n v="3200"/>
    <x v="7"/>
    <x v="0"/>
    <x v="2"/>
    <n v="17"/>
    <n v="3000"/>
    <n v="51000"/>
    <x v="1"/>
    <x v="1"/>
    <x v="1"/>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7739A4-5E12-4F09-AC8E-728430F859F9}" name="PivotTable7" cacheId="4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1">
  <location ref="K18:L22" firstHeaderRow="1" firstDataRow="1" firstDataCol="1"/>
  <pivotFields count="12">
    <pivotField showAll="0"/>
    <pivotField showAll="0"/>
    <pivotField showAll="0">
      <items count="9">
        <item x="1"/>
        <item x="3"/>
        <item x="4"/>
        <item x="6"/>
        <item x="2"/>
        <item x="5"/>
        <item x="0"/>
        <item x="7"/>
        <item t="default"/>
      </items>
    </pivotField>
    <pivotField showAll="0">
      <items count="4">
        <item x="2"/>
        <item x="0"/>
        <item x="1"/>
        <item t="default"/>
      </items>
    </pivotField>
    <pivotField showAll="0" sortType="descending">
      <items count="7">
        <item x="3"/>
        <item x="0"/>
        <item x="4"/>
        <item x="2"/>
        <item x="5"/>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axis="axisRow" showAll="0">
      <items count="5">
        <item x="0"/>
        <item x="1"/>
        <item x="2"/>
        <item x="3"/>
        <item t="default"/>
      </items>
    </pivotField>
    <pivotField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items count="13">
        <item x="1"/>
        <item x="0"/>
        <item x="3"/>
        <item x="2"/>
        <item x="6"/>
        <item x="7"/>
        <item x="4"/>
        <item x="5"/>
        <item x="11"/>
        <item x="10"/>
        <item x="9"/>
        <item x="8"/>
        <item t="default"/>
      </items>
    </pivotField>
  </pivotFields>
  <rowFields count="1">
    <field x="8"/>
  </rowFields>
  <rowItems count="4">
    <i>
      <x/>
    </i>
    <i>
      <x v="1"/>
    </i>
    <i>
      <x v="2"/>
    </i>
    <i>
      <x v="3"/>
    </i>
  </rowItems>
  <colItems count="1">
    <i/>
  </colItems>
  <dataFields count="1">
    <dataField name="Sum of Amount" fld="7" baseField="0" baseItem="0"/>
  </dataFields>
  <chartFormats count="18">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3" format="1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1" format="1">
      <pivotArea type="data" outline="0" fieldPosition="0">
        <references count="1">
          <reference field="4294967294" count="1" selected="0">
            <x v="0"/>
          </reference>
        </references>
      </pivotArea>
    </chartFormat>
    <chartFormat chart="34" format="4" series="1">
      <pivotArea type="data" outline="0" fieldPosition="0">
        <references count="1">
          <reference field="4294967294" count="1" selected="0">
            <x v="0"/>
          </reference>
        </references>
      </pivotArea>
    </chartFormat>
    <chartFormat chart="34" format="5">
      <pivotArea type="data" outline="0" fieldPosition="0">
        <references count="1">
          <reference field="4294967294" count="1" selected="0">
            <x v="0"/>
          </reference>
        </references>
      </pivotArea>
    </chartFormat>
    <chartFormat chart="36" format="0" series="1">
      <pivotArea type="data" outline="0" fieldPosition="0">
        <references count="1">
          <reference field="4294967294" count="1" selected="0">
            <x v="0"/>
          </reference>
        </references>
      </pivotArea>
    </chartFormat>
    <chartFormat chart="39" format="6" series="1">
      <pivotArea type="data" outline="0" fieldPosition="0">
        <references count="1">
          <reference field="4294967294" count="1" selected="0">
            <x v="0"/>
          </reference>
        </references>
      </pivotArea>
    </chartFormat>
    <chartFormat chart="39" format="7">
      <pivotArea type="data" outline="0" fieldPosition="0">
        <references count="2">
          <reference field="4294967294" count="1" selected="0">
            <x v="0"/>
          </reference>
          <reference field="8" count="1" selected="0">
            <x v="0"/>
          </reference>
        </references>
      </pivotArea>
    </chartFormat>
    <chartFormat chart="39" format="8">
      <pivotArea type="data" outline="0" fieldPosition="0">
        <references count="2">
          <reference field="4294967294" count="1" selected="0">
            <x v="0"/>
          </reference>
          <reference field="8" count="1" selected="0">
            <x v="1"/>
          </reference>
        </references>
      </pivotArea>
    </chartFormat>
    <chartFormat chart="39" format="9">
      <pivotArea type="data" outline="0" fieldPosition="0">
        <references count="2">
          <reference field="4294967294" count="1" selected="0">
            <x v="0"/>
          </reference>
          <reference field="8" count="1" selected="0">
            <x v="2"/>
          </reference>
        </references>
      </pivotArea>
    </chartFormat>
    <chartFormat chart="39"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026149-8D1A-4FFC-850F-0EEA5962DEC4}" name="PivotTable6" cacheId="4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6">
  <location ref="J18:J19" firstHeaderRow="1" firstDataRow="1" firstDataCol="0"/>
  <pivotFields count="12">
    <pivotField showAll="0"/>
    <pivotField showAll="0"/>
    <pivotField showAll="0">
      <items count="9">
        <item x="1"/>
        <item x="3"/>
        <item x="4"/>
        <item x="6"/>
        <item x="2"/>
        <item x="5"/>
        <item x="0"/>
        <item x="7"/>
        <item t="default"/>
      </items>
    </pivotField>
    <pivotField showAll="0">
      <items count="4">
        <item x="2"/>
        <item x="0"/>
        <item x="1"/>
        <item t="default"/>
      </items>
    </pivotField>
    <pivotField showAll="0" sortType="descending">
      <items count="7">
        <item x="3"/>
        <item x="0"/>
        <item x="4"/>
        <item x="2"/>
        <item x="5"/>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items count="13">
        <item x="1"/>
        <item x="0"/>
        <item x="3"/>
        <item x="2"/>
        <item x="6"/>
        <item x="7"/>
        <item x="4"/>
        <item x="5"/>
        <item x="11"/>
        <item x="10"/>
        <item x="9"/>
        <item x="8"/>
        <item t="default"/>
      </items>
    </pivotField>
  </pivotFields>
  <rowItems count="1">
    <i/>
  </rowItems>
  <colItems count="1">
    <i/>
  </colItems>
  <dataFields count="1">
    <dataField name="Sum of Amount" fld="7" baseField="0" baseItem="0"/>
  </dataFields>
  <chartFormats count="1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3" format="1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 chart="31" format="0" series="1">
      <pivotArea type="data" outline="0" fieldPosition="0">
        <references count="1">
          <reference field="4294967294" count="1" selected="0">
            <x v="0"/>
          </reference>
        </references>
      </pivotArea>
    </chartFormat>
    <chartFormat chart="31" format="1">
      <pivotArea type="data" outline="0" fieldPosition="0">
        <references count="1">
          <reference field="4294967294" count="1" selected="0">
            <x v="0"/>
          </reference>
        </references>
      </pivotArea>
    </chartFormat>
    <chartFormat chart="34" format="4" series="1">
      <pivotArea type="data" outline="0" fieldPosition="0">
        <references count="1">
          <reference field="4294967294" count="1" selected="0">
            <x v="0"/>
          </reference>
        </references>
      </pivotArea>
    </chartFormat>
    <chartFormat chart="34" format="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D039B9-0F5F-4576-9EC5-F429EB692D23}" name="PivotTable5" cacheId="4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3">
  <location ref="J8:K16" firstHeaderRow="1" firstDataRow="1" firstDataCol="1"/>
  <pivotFields count="12">
    <pivotField showAll="0"/>
    <pivotField showAll="0"/>
    <pivotField axis="axisRow" showAll="0" sortType="descending">
      <items count="9">
        <item x="1"/>
        <item x="3"/>
        <item x="4"/>
        <item x="6"/>
        <item x="2"/>
        <item x="5"/>
        <item x="0"/>
        <item x="7"/>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sortType="descending">
      <items count="7">
        <item x="3"/>
        <item x="0"/>
        <item x="4"/>
        <item x="2"/>
        <item x="5"/>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items count="13">
        <item x="1"/>
        <item x="0"/>
        <item x="3"/>
        <item x="2"/>
        <item x="6"/>
        <item x="7"/>
        <item x="4"/>
        <item x="5"/>
        <item x="11"/>
        <item x="10"/>
        <item x="9"/>
        <item x="8"/>
        <item t="default"/>
      </items>
    </pivotField>
  </pivotFields>
  <rowFields count="1">
    <field x="2"/>
  </rowFields>
  <rowItems count="8">
    <i>
      <x v="2"/>
    </i>
    <i>
      <x v="7"/>
    </i>
    <i>
      <x/>
    </i>
    <i>
      <x v="3"/>
    </i>
    <i>
      <x v="6"/>
    </i>
    <i>
      <x v="5"/>
    </i>
    <i>
      <x v="4"/>
    </i>
    <i>
      <x v="1"/>
    </i>
  </rowItems>
  <colItems count="1">
    <i/>
  </colItems>
  <dataFields count="1">
    <dataField name="Sum of Amount" fld="7" baseField="0" baseItem="0"/>
  </dataFields>
  <chartFormats count="8">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3" format="1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4F1434-2A60-401B-BDA6-4767D2F9C2B7}" name="PivotTable4" cacheId="4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5">
  <location ref="J3:K5" firstHeaderRow="1" firstDataRow="1" firstDataCol="1"/>
  <pivotFields count="12">
    <pivotField showAll="0"/>
    <pivotField showAll="0"/>
    <pivotField showAll="0">
      <items count="9">
        <item x="1"/>
        <item x="3"/>
        <item x="4"/>
        <item x="6"/>
        <item x="2"/>
        <item x="5"/>
        <item x="0"/>
        <item x="7"/>
        <item t="default"/>
      </items>
    </pivotField>
    <pivotField showAll="0">
      <items count="4">
        <item x="2"/>
        <item x="0"/>
        <item x="1"/>
        <item t="default"/>
      </items>
    </pivotField>
    <pivotField showAll="0" sortType="descending">
      <items count="7">
        <item x="3"/>
        <item x="0"/>
        <item x="4"/>
        <item x="2"/>
        <item x="5"/>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axis="axisRow" showAll="0">
      <items count="3">
        <item x="0"/>
        <item x="1"/>
        <item t="default"/>
      </items>
    </pivotField>
    <pivotField showAll="0">
      <items count="13">
        <item x="1"/>
        <item x="0"/>
        <item x="3"/>
        <item x="2"/>
        <item x="6"/>
        <item x="7"/>
        <item x="4"/>
        <item x="5"/>
        <item x="11"/>
        <item x="10"/>
        <item x="9"/>
        <item x="8"/>
        <item t="default"/>
      </items>
    </pivotField>
  </pivotFields>
  <rowFields count="1">
    <field x="10"/>
  </rowFields>
  <rowItems count="2">
    <i>
      <x/>
    </i>
    <i>
      <x v="1"/>
    </i>
  </rowItems>
  <colItems count="1">
    <i/>
  </colItems>
  <dataFields count="1">
    <dataField name="Sum of Amount" fld="7" baseField="0" baseItem="0"/>
  </dataFields>
  <chartFormats count="11">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3" format="10"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39" format="1">
      <pivotArea type="data" outline="0" fieldPosition="0">
        <references count="2">
          <reference field="4294967294" count="1" selected="0">
            <x v="0"/>
          </reference>
          <reference field="10" count="1" selected="0">
            <x v="1"/>
          </reference>
        </references>
      </pivotArea>
    </chartFormat>
    <chartFormat chart="42" format="4" series="1">
      <pivotArea type="data" outline="0" fieldPosition="0">
        <references count="1">
          <reference field="4294967294" count="1" selected="0">
            <x v="0"/>
          </reference>
        </references>
      </pivotArea>
    </chartFormat>
    <chartFormat chart="42" format="5">
      <pivotArea type="data" outline="0" fieldPosition="0">
        <references count="2">
          <reference field="4294967294" count="1" selected="0">
            <x v="0"/>
          </reference>
          <reference field="10" count="1" selected="0">
            <x v="1"/>
          </reference>
        </references>
      </pivotArea>
    </chartFormat>
    <chartFormat chart="42" format="6">
      <pivotArea type="data" outline="0" fieldPosition="0">
        <references count="2">
          <reference field="4294967294" count="1" selected="0">
            <x v="0"/>
          </reference>
          <reference field="1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EF86AC-BCD9-4971-9D99-1979572F5EBC}" name="PivotTable3" cacheId="4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8">
  <location ref="G3:H7" firstHeaderRow="1" firstDataRow="1" firstDataCol="1"/>
  <pivotFields count="12">
    <pivotField showAll="0"/>
    <pivotField showAll="0"/>
    <pivotField showAll="0">
      <items count="9">
        <item x="1"/>
        <item x="3"/>
        <item x="4"/>
        <item x="6"/>
        <item x="2"/>
        <item x="5"/>
        <item x="0"/>
        <item x="7"/>
        <item t="default"/>
      </items>
    </pivotField>
    <pivotField showAll="0">
      <items count="4">
        <item x="2"/>
        <item x="0"/>
        <item x="1"/>
        <item t="default"/>
      </items>
    </pivotField>
    <pivotField showAll="0" sortType="descending">
      <items count="7">
        <item x="3"/>
        <item x="0"/>
        <item x="4"/>
        <item x="2"/>
        <item x="5"/>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axis="axisRow"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showAll="0"/>
    <pivotField showAll="0">
      <items count="13">
        <item x="1"/>
        <item x="0"/>
        <item x="3"/>
        <item x="2"/>
        <item x="6"/>
        <item x="7"/>
        <item x="4"/>
        <item x="5"/>
        <item x="11"/>
        <item x="10"/>
        <item x="9"/>
        <item x="8"/>
        <item t="default"/>
      </items>
    </pivotField>
  </pivotFields>
  <rowFields count="1">
    <field x="9"/>
  </rowFields>
  <rowItems count="4">
    <i>
      <x v="3"/>
    </i>
    <i>
      <x v="1"/>
    </i>
    <i>
      <x/>
    </i>
    <i>
      <x v="2"/>
    </i>
  </rowItems>
  <colItems count="1">
    <i/>
  </colItems>
  <dataFields count="1">
    <dataField name="Sum of Amount" fld="7" baseField="0" baseItem="0"/>
  </dataFields>
  <chartFormats count="1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19" format="1">
      <pivotArea type="data" outline="0" fieldPosition="0">
        <references count="2">
          <reference field="4294967294" count="1" selected="0">
            <x v="0"/>
          </reference>
          <reference field="9" count="1" selected="0">
            <x v="3"/>
          </reference>
        </references>
      </pivotArea>
    </chartFormat>
    <chartFormat chart="19" format="2">
      <pivotArea type="data" outline="0" fieldPosition="0">
        <references count="2">
          <reference field="4294967294" count="1" selected="0">
            <x v="0"/>
          </reference>
          <reference field="9" count="1" selected="0">
            <x v="2"/>
          </reference>
        </references>
      </pivotArea>
    </chartFormat>
    <chartFormat chart="19" format="3">
      <pivotArea type="data" outline="0" fieldPosition="0">
        <references count="2">
          <reference field="4294967294" count="1" selected="0">
            <x v="0"/>
          </reference>
          <reference field="9" count="1" selected="0">
            <x v="0"/>
          </reference>
        </references>
      </pivotArea>
    </chartFormat>
    <chartFormat chart="19" format="4">
      <pivotArea type="data" outline="0" fieldPosition="0">
        <references count="2">
          <reference field="4294967294" count="1" selected="0">
            <x v="0"/>
          </reference>
          <reference field="9" count="1" selected="0">
            <x v="1"/>
          </reference>
        </references>
      </pivotArea>
    </chartFormat>
    <chartFormat chart="23" format="10" series="1">
      <pivotArea type="data" outline="0" fieldPosition="0">
        <references count="1">
          <reference field="4294967294" count="1" selected="0">
            <x v="0"/>
          </reference>
        </references>
      </pivotArea>
    </chartFormat>
    <chartFormat chart="23" format="11">
      <pivotArea type="data" outline="0" fieldPosition="0">
        <references count="2">
          <reference field="4294967294" count="1" selected="0">
            <x v="0"/>
          </reference>
          <reference field="9" count="1" selected="0">
            <x v="3"/>
          </reference>
        </references>
      </pivotArea>
    </chartFormat>
    <chartFormat chart="23" format="12">
      <pivotArea type="data" outline="0" fieldPosition="0">
        <references count="2">
          <reference field="4294967294" count="1" selected="0">
            <x v="0"/>
          </reference>
          <reference field="9" count="1" selected="0">
            <x v="1"/>
          </reference>
        </references>
      </pivotArea>
    </chartFormat>
    <chartFormat chart="23" format="13">
      <pivotArea type="data" outline="0" fieldPosition="0">
        <references count="2">
          <reference field="4294967294" count="1" selected="0">
            <x v="0"/>
          </reference>
          <reference field="9" count="1" selected="0">
            <x v="0"/>
          </reference>
        </references>
      </pivotArea>
    </chartFormat>
    <chartFormat chart="23" format="14">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44D320-609B-42F3-B76F-C335FDD3B436}" name="PivotTable2" cacheId="4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location ref="D3:E9" firstHeaderRow="1" firstDataRow="1" firstDataCol="1"/>
  <pivotFields count="12">
    <pivotField showAll="0"/>
    <pivotField showAll="0"/>
    <pivotField showAll="0"/>
    <pivotField showAll="0">
      <items count="4">
        <item x="2"/>
        <item x="0"/>
        <item x="1"/>
        <item t="default"/>
      </items>
    </pivotField>
    <pivotField axis="axisRow" showAll="0" sortType="descending">
      <items count="7">
        <item x="3"/>
        <item x="0"/>
        <item x="4"/>
        <item x="2"/>
        <item x="5"/>
        <item x="1"/>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items count="13">
        <item x="1"/>
        <item x="0"/>
        <item x="3"/>
        <item x="2"/>
        <item x="6"/>
        <item x="7"/>
        <item x="4"/>
        <item x="5"/>
        <item x="11"/>
        <item x="10"/>
        <item x="9"/>
        <item x="8"/>
        <item t="default"/>
      </items>
    </pivotField>
  </pivotFields>
  <rowFields count="1">
    <field x="4"/>
  </rowFields>
  <rowItems count="6">
    <i>
      <x/>
    </i>
    <i>
      <x v="1"/>
    </i>
    <i>
      <x v="3"/>
    </i>
    <i>
      <x v="4"/>
    </i>
    <i>
      <x v="2"/>
    </i>
    <i>
      <x v="5"/>
    </i>
  </rowItems>
  <colItems count="1">
    <i/>
  </colItems>
  <dataFields count="1">
    <dataField name="Sum of Amount" fld="7" baseField="0" baseItem="0"/>
  </dataFields>
  <chartFormats count="5">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F741643-9481-4281-BCBA-23CCEC5647F4}" name="PivotTable1" cacheId="4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7">
  <location ref="A3:B6" firstHeaderRow="1" firstDataRow="1" firstDataCol="1"/>
  <pivotFields count="12">
    <pivotField showAll="0"/>
    <pivotField showAll="0"/>
    <pivotField showAll="0"/>
    <pivotField axis="axisRow" showAll="0">
      <items count="4">
        <item x="2"/>
        <item x="0"/>
        <item x="1"/>
        <item t="default"/>
      </items>
    </pivotField>
    <pivotField showAll="0"/>
    <pivotField showAll="0"/>
    <pivotField showAll="0"/>
    <pivotField dataField="1" showAll="0"/>
    <pivotField showAll="0"/>
    <pivotField showAll="0"/>
    <pivotField showAll="0"/>
    <pivotField showAll="0">
      <items count="13">
        <item x="1"/>
        <item x="0"/>
        <item x="3"/>
        <item x="2"/>
        <item x="6"/>
        <item x="7"/>
        <item x="4"/>
        <item x="5"/>
        <item x="11"/>
        <item x="10"/>
        <item x="9"/>
        <item x="8"/>
        <item t="default"/>
      </items>
    </pivotField>
  </pivotFields>
  <rowFields count="1">
    <field x="3"/>
  </rowFields>
  <rowItems count="3">
    <i>
      <x/>
    </i>
    <i>
      <x v="1"/>
    </i>
    <i>
      <x v="2"/>
    </i>
  </rowItems>
  <colItems count="1">
    <i/>
  </colItems>
  <dataFields count="1">
    <dataField name="Sum of Amount" fld="7" baseField="0" baseItem="0"/>
  </dataFields>
  <chartFormats count="5">
    <chartFormat chart="22"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6" format="3">
      <pivotArea type="data" outline="0" fieldPosition="0">
        <references count="2">
          <reference field="4294967294" count="1" selected="0">
            <x v="0"/>
          </reference>
          <reference field="3" count="1" selected="0">
            <x v="2"/>
          </reference>
        </references>
      </pivotArea>
    </chartFormat>
    <chartFormat chart="26" format="4">
      <pivotArea type="data" outline="0" fieldPosition="0">
        <references count="2">
          <reference field="4294967294" count="1" selected="0">
            <x v="0"/>
          </reference>
          <reference field="3" count="1" selected="0">
            <x v="1"/>
          </reference>
        </references>
      </pivotArea>
    </chartFormat>
    <chartFormat chart="26" format="5">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4543C73-3E43-4AB4-90F9-219C1E1DF355}" sourceName="Month">
  <pivotTables>
    <pivotTable tabId="3" name="PivotTable3"/>
    <pivotTable tabId="3" name="PivotTable1"/>
    <pivotTable tabId="3" name="PivotTable2"/>
    <pivotTable tabId="3" name="PivotTable4"/>
    <pivotTable tabId="3" name="PivotTable5"/>
    <pivotTable tabId="3" name="PivotTable6"/>
    <pivotTable tabId="3" name="PivotTable7"/>
  </pivotTables>
  <data>
    <tabular pivotCacheId="884404905">
      <items count="12">
        <i x="1" s="1"/>
        <i x="0" s="1"/>
        <i x="3" s="1"/>
        <i x="2" s="1"/>
        <i x="6" s="1"/>
        <i x="7" s="1"/>
        <i x="4" s="1"/>
        <i x="5" s="1"/>
        <i x="11" s="1"/>
        <i x="10" s="1"/>
        <i x="9"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192F26FB-66B1-4872-8415-30ECE5239460}" cache="Slicer_Month" caption="Month" style="SlicerStyleDark1" rowHeight="360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7D02B-C88D-4F2F-B55A-2047406D7168}">
  <dimension ref="A3:L22"/>
  <sheetViews>
    <sheetView workbookViewId="0">
      <selection activeCell="B11" sqref="B11"/>
    </sheetView>
  </sheetViews>
  <sheetFormatPr defaultRowHeight="14.4" x14ac:dyDescent="0.3"/>
  <cols>
    <col min="1" max="1" width="13.109375" bestFit="1" customWidth="1"/>
    <col min="2" max="2" width="14.44140625" bestFit="1" customWidth="1"/>
    <col min="4" max="4" width="12.5546875" bestFit="1" customWidth="1"/>
    <col min="5" max="5" width="14.44140625" bestFit="1" customWidth="1"/>
    <col min="7" max="7" width="12.5546875" bestFit="1" customWidth="1"/>
    <col min="8" max="8" width="14.44140625" bestFit="1" customWidth="1"/>
    <col min="10" max="10" width="14.44140625" bestFit="1" customWidth="1"/>
    <col min="11" max="11" width="12.5546875" bestFit="1" customWidth="1"/>
    <col min="12" max="12" width="14.44140625" bestFit="1" customWidth="1"/>
  </cols>
  <sheetData>
    <row r="3" spans="1:11" x14ac:dyDescent="0.3">
      <c r="A3" s="2" t="s">
        <v>97</v>
      </c>
      <c r="B3" t="s">
        <v>98</v>
      </c>
      <c r="D3" s="2" t="s">
        <v>97</v>
      </c>
      <c r="E3" t="s">
        <v>98</v>
      </c>
      <c r="G3" s="2" t="s">
        <v>97</v>
      </c>
      <c r="H3" t="s">
        <v>98</v>
      </c>
      <c r="J3" s="2" t="s">
        <v>97</v>
      </c>
      <c r="K3" t="s">
        <v>98</v>
      </c>
    </row>
    <row r="4" spans="1:11" x14ac:dyDescent="0.3">
      <c r="A4" s="3" t="s">
        <v>35</v>
      </c>
      <c r="B4" s="4">
        <v>2370400</v>
      </c>
      <c r="D4" s="3" t="s">
        <v>36</v>
      </c>
      <c r="E4" s="4">
        <v>1718000</v>
      </c>
      <c r="G4" s="3" t="s">
        <v>48</v>
      </c>
      <c r="H4" s="4">
        <v>1738600</v>
      </c>
      <c r="J4" s="3" t="s">
        <v>17</v>
      </c>
      <c r="K4" s="4">
        <v>3117100</v>
      </c>
    </row>
    <row r="5" spans="1:11" x14ac:dyDescent="0.3">
      <c r="A5" s="3" t="s">
        <v>13</v>
      </c>
      <c r="B5" s="4">
        <v>2334500</v>
      </c>
      <c r="D5" s="3" t="s">
        <v>14</v>
      </c>
      <c r="E5" s="4">
        <v>1303300</v>
      </c>
      <c r="G5" s="3" t="s">
        <v>16</v>
      </c>
      <c r="H5" s="4">
        <v>1493000</v>
      </c>
      <c r="J5" s="3" t="s">
        <v>26</v>
      </c>
      <c r="K5" s="4">
        <v>2599200</v>
      </c>
    </row>
    <row r="6" spans="1:11" x14ac:dyDescent="0.3">
      <c r="A6" s="3" t="s">
        <v>24</v>
      </c>
      <c r="B6" s="4">
        <v>1011400</v>
      </c>
      <c r="D6" s="3" t="s">
        <v>31</v>
      </c>
      <c r="E6" s="4">
        <v>1031200</v>
      </c>
      <c r="G6" s="3" t="s">
        <v>21</v>
      </c>
      <c r="H6" s="4">
        <v>1366000</v>
      </c>
    </row>
    <row r="7" spans="1:11" x14ac:dyDescent="0.3">
      <c r="D7" s="3" t="s">
        <v>45</v>
      </c>
      <c r="E7" s="4">
        <v>652400</v>
      </c>
      <c r="G7" s="3" t="s">
        <v>28</v>
      </c>
      <c r="H7" s="4">
        <v>1118700</v>
      </c>
    </row>
    <row r="8" spans="1:11" x14ac:dyDescent="0.3">
      <c r="D8" s="3" t="s">
        <v>41</v>
      </c>
      <c r="E8" s="4">
        <v>575900</v>
      </c>
      <c r="J8" s="2" t="s">
        <v>97</v>
      </c>
      <c r="K8" t="s">
        <v>98</v>
      </c>
    </row>
    <row r="9" spans="1:11" x14ac:dyDescent="0.3">
      <c r="D9" s="3" t="s">
        <v>25</v>
      </c>
      <c r="E9" s="4">
        <v>435500</v>
      </c>
      <c r="J9" s="3" t="s">
        <v>34</v>
      </c>
      <c r="K9" s="4">
        <v>1718000</v>
      </c>
    </row>
    <row r="10" spans="1:11" x14ac:dyDescent="0.3">
      <c r="J10" s="3" t="s">
        <v>55</v>
      </c>
      <c r="K10" s="4">
        <v>754400</v>
      </c>
    </row>
    <row r="11" spans="1:11" x14ac:dyDescent="0.3">
      <c r="J11" s="3" t="s">
        <v>19</v>
      </c>
      <c r="K11" s="4">
        <v>685600</v>
      </c>
    </row>
    <row r="12" spans="1:11" x14ac:dyDescent="0.3">
      <c r="J12" s="3" t="s">
        <v>44</v>
      </c>
      <c r="K12" s="4">
        <v>652400</v>
      </c>
    </row>
    <row r="13" spans="1:11" x14ac:dyDescent="0.3">
      <c r="J13" s="3" t="s">
        <v>12</v>
      </c>
      <c r="K13" s="4">
        <v>617700</v>
      </c>
    </row>
    <row r="14" spans="1:11" x14ac:dyDescent="0.3">
      <c r="J14" s="3" t="s">
        <v>40</v>
      </c>
      <c r="K14" s="4">
        <v>575900</v>
      </c>
    </row>
    <row r="15" spans="1:11" x14ac:dyDescent="0.3">
      <c r="J15" s="3" t="s">
        <v>23</v>
      </c>
      <c r="K15" s="4">
        <v>435500</v>
      </c>
    </row>
    <row r="16" spans="1:11" x14ac:dyDescent="0.3">
      <c r="J16" s="3" t="s">
        <v>30</v>
      </c>
      <c r="K16" s="4">
        <v>276800</v>
      </c>
    </row>
    <row r="18" spans="10:12" x14ac:dyDescent="0.3">
      <c r="J18" t="s">
        <v>98</v>
      </c>
      <c r="K18" s="2" t="s">
        <v>97</v>
      </c>
      <c r="L18" t="s">
        <v>98</v>
      </c>
    </row>
    <row r="19" spans="10:12" x14ac:dyDescent="0.3">
      <c r="J19" s="4">
        <v>5716300</v>
      </c>
      <c r="K19" s="3" t="s">
        <v>15</v>
      </c>
      <c r="L19" s="4">
        <v>1253800</v>
      </c>
    </row>
    <row r="20" spans="10:12" x14ac:dyDescent="0.3">
      <c r="K20" s="3" t="s">
        <v>20</v>
      </c>
      <c r="L20" s="4">
        <v>1483800</v>
      </c>
    </row>
    <row r="21" spans="10:12" x14ac:dyDescent="0.3">
      <c r="K21" s="3" t="s">
        <v>32</v>
      </c>
      <c r="L21" s="4">
        <v>1640500</v>
      </c>
    </row>
    <row r="22" spans="10:12" x14ac:dyDescent="0.3">
      <c r="K22" s="3" t="s">
        <v>38</v>
      </c>
      <c r="L22" s="4">
        <v>1338200</v>
      </c>
    </row>
  </sheetData>
  <pageMargins left="0.7" right="0.7" top="0.75" bottom="0.75" header="0.3" footer="0.3"/>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1"/>
  <sheetViews>
    <sheetView workbookViewId="0">
      <selection activeCell="F12" sqref="A1:L201"/>
    </sheetView>
  </sheetViews>
  <sheetFormatPr defaultRowHeight="14.4" x14ac:dyDescent="0.3"/>
  <cols>
    <col min="1" max="1" width="10.33203125" style="1" bestFit="1" customWidth="1"/>
    <col min="2" max="2" width="10.6640625" bestFit="1" customWidth="1"/>
    <col min="4" max="4" width="13.109375" bestFit="1" customWidth="1"/>
    <col min="5" max="5" width="12.21875" bestFit="1" customWidth="1"/>
    <col min="6" max="6" width="8" bestFit="1" customWidth="1"/>
    <col min="7" max="7" width="7" bestFit="1" customWidth="1"/>
    <col min="11" max="11" width="15.33203125" bestFit="1" customWidth="1"/>
  </cols>
  <sheetData>
    <row r="1" spans="1:12" x14ac:dyDescent="0.3">
      <c r="A1" s="1" t="s">
        <v>0</v>
      </c>
      <c r="B1" t="s">
        <v>1</v>
      </c>
      <c r="C1" t="s">
        <v>2</v>
      </c>
      <c r="D1" t="s">
        <v>3</v>
      </c>
      <c r="E1" t="s">
        <v>4</v>
      </c>
      <c r="F1" t="s">
        <v>5</v>
      </c>
      <c r="G1" t="s">
        <v>6</v>
      </c>
      <c r="H1" t="s">
        <v>7</v>
      </c>
      <c r="I1" t="s">
        <v>8</v>
      </c>
      <c r="J1" t="s">
        <v>9</v>
      </c>
      <c r="K1" t="s">
        <v>10</v>
      </c>
      <c r="L1" t="s">
        <v>96</v>
      </c>
    </row>
    <row r="2" spans="1:12" x14ac:dyDescent="0.3">
      <c r="A2" s="1" t="s">
        <v>11</v>
      </c>
      <c r="B2">
        <v>3001</v>
      </c>
      <c r="C2" t="s">
        <v>12</v>
      </c>
      <c r="D2" t="s">
        <v>13</v>
      </c>
      <c r="E2" t="s">
        <v>14</v>
      </c>
      <c r="F2">
        <v>7</v>
      </c>
      <c r="G2">
        <v>2000</v>
      </c>
      <c r="H2">
        <v>14000</v>
      </c>
      <c r="I2" t="s">
        <v>15</v>
      </c>
      <c r="J2" t="s">
        <v>16</v>
      </c>
      <c r="K2" t="s">
        <v>17</v>
      </c>
      <c r="L2" t="str">
        <f>TEXT(A2,"MMM")</f>
        <v>Feb</v>
      </c>
    </row>
    <row r="3" spans="1:12" x14ac:dyDescent="0.3">
      <c r="A3" s="1" t="s">
        <v>18</v>
      </c>
      <c r="B3">
        <v>3002</v>
      </c>
      <c r="C3" t="s">
        <v>19</v>
      </c>
      <c r="D3" t="s">
        <v>13</v>
      </c>
      <c r="E3" t="s">
        <v>14</v>
      </c>
      <c r="F3">
        <v>12</v>
      </c>
      <c r="G3">
        <v>500</v>
      </c>
      <c r="H3">
        <v>6000</v>
      </c>
      <c r="I3" t="s">
        <v>20</v>
      </c>
      <c r="J3" t="s">
        <v>21</v>
      </c>
      <c r="K3" t="s">
        <v>17</v>
      </c>
      <c r="L3" t="str">
        <f t="shared" ref="L3:L66" si="0">TEXT(A3,"MMM")</f>
        <v>Jan</v>
      </c>
    </row>
    <row r="4" spans="1:12" x14ac:dyDescent="0.3">
      <c r="A4" s="1" t="s">
        <v>22</v>
      </c>
      <c r="B4">
        <v>3003</v>
      </c>
      <c r="C4" t="s">
        <v>23</v>
      </c>
      <c r="D4" t="s">
        <v>24</v>
      </c>
      <c r="E4" t="s">
        <v>25</v>
      </c>
      <c r="F4">
        <v>11</v>
      </c>
      <c r="G4">
        <v>2000</v>
      </c>
      <c r="H4">
        <v>22000</v>
      </c>
      <c r="I4" t="s">
        <v>15</v>
      </c>
      <c r="J4" t="s">
        <v>21</v>
      </c>
      <c r="K4" t="s">
        <v>26</v>
      </c>
      <c r="L4" t="str">
        <f t="shared" si="0"/>
        <v>Feb</v>
      </c>
    </row>
    <row r="5" spans="1:12" x14ac:dyDescent="0.3">
      <c r="A5" s="1" t="s">
        <v>27</v>
      </c>
      <c r="B5">
        <v>3004</v>
      </c>
      <c r="C5" t="s">
        <v>19</v>
      </c>
      <c r="D5" t="s">
        <v>13</v>
      </c>
      <c r="E5" t="s">
        <v>14</v>
      </c>
      <c r="F5">
        <v>11</v>
      </c>
      <c r="G5">
        <v>5000</v>
      </c>
      <c r="H5">
        <v>55000</v>
      </c>
      <c r="I5" t="s">
        <v>20</v>
      </c>
      <c r="J5" t="s">
        <v>28</v>
      </c>
      <c r="K5" t="s">
        <v>17</v>
      </c>
      <c r="L5" t="str">
        <f t="shared" si="0"/>
        <v>Jan</v>
      </c>
    </row>
    <row r="6" spans="1:12" x14ac:dyDescent="0.3">
      <c r="A6" s="1" t="s">
        <v>29</v>
      </c>
      <c r="B6">
        <v>3005</v>
      </c>
      <c r="C6" t="s">
        <v>30</v>
      </c>
      <c r="D6" t="s">
        <v>13</v>
      </c>
      <c r="E6" t="s">
        <v>31</v>
      </c>
      <c r="F6">
        <v>17</v>
      </c>
      <c r="G6">
        <v>1500</v>
      </c>
      <c r="H6">
        <v>25500</v>
      </c>
      <c r="I6" t="s">
        <v>32</v>
      </c>
      <c r="J6" t="s">
        <v>28</v>
      </c>
      <c r="K6" t="s">
        <v>26</v>
      </c>
      <c r="L6" t="str">
        <f t="shared" si="0"/>
        <v>Jan</v>
      </c>
    </row>
    <row r="7" spans="1:12" x14ac:dyDescent="0.3">
      <c r="A7" s="1" t="s">
        <v>33</v>
      </c>
      <c r="B7">
        <v>3006</v>
      </c>
      <c r="C7" t="s">
        <v>34</v>
      </c>
      <c r="D7" t="s">
        <v>35</v>
      </c>
      <c r="E7" t="s">
        <v>36</v>
      </c>
      <c r="F7">
        <v>3</v>
      </c>
      <c r="G7">
        <v>7000</v>
      </c>
      <c r="H7">
        <f>F7*G7</f>
        <v>21000</v>
      </c>
      <c r="I7" t="s">
        <v>15</v>
      </c>
      <c r="J7" t="s">
        <v>16</v>
      </c>
      <c r="K7" t="s">
        <v>26</v>
      </c>
      <c r="L7" t="str">
        <f t="shared" si="0"/>
        <v>Feb</v>
      </c>
    </row>
    <row r="8" spans="1:12" x14ac:dyDescent="0.3">
      <c r="A8" s="1" t="s">
        <v>37</v>
      </c>
      <c r="B8">
        <v>3007</v>
      </c>
      <c r="C8" t="s">
        <v>12</v>
      </c>
      <c r="D8" t="s">
        <v>13</v>
      </c>
      <c r="E8" t="s">
        <v>14</v>
      </c>
      <c r="F8">
        <v>19</v>
      </c>
      <c r="G8">
        <v>1500</v>
      </c>
      <c r="H8">
        <v>28500</v>
      </c>
      <c r="I8" t="s">
        <v>38</v>
      </c>
      <c r="J8" t="s">
        <v>21</v>
      </c>
      <c r="K8" t="s">
        <v>26</v>
      </c>
      <c r="L8" t="str">
        <f t="shared" si="0"/>
        <v>Jan</v>
      </c>
    </row>
    <row r="9" spans="1:12" x14ac:dyDescent="0.3">
      <c r="A9" s="1" t="s">
        <v>39</v>
      </c>
      <c r="B9">
        <v>3008</v>
      </c>
      <c r="C9" t="s">
        <v>40</v>
      </c>
      <c r="D9" t="s">
        <v>24</v>
      </c>
      <c r="E9" t="s">
        <v>41</v>
      </c>
      <c r="F9">
        <v>20</v>
      </c>
      <c r="G9">
        <v>3000</v>
      </c>
      <c r="H9">
        <v>60000</v>
      </c>
      <c r="I9" t="s">
        <v>38</v>
      </c>
      <c r="J9" t="s">
        <v>21</v>
      </c>
      <c r="K9" t="s">
        <v>17</v>
      </c>
      <c r="L9" t="str">
        <f t="shared" si="0"/>
        <v>Jan</v>
      </c>
    </row>
    <row r="10" spans="1:12" x14ac:dyDescent="0.3">
      <c r="A10" s="1" t="s">
        <v>42</v>
      </c>
      <c r="B10">
        <v>3009</v>
      </c>
      <c r="C10" t="s">
        <v>19</v>
      </c>
      <c r="D10" t="s">
        <v>13</v>
      </c>
      <c r="E10" t="s">
        <v>14</v>
      </c>
      <c r="F10">
        <v>10</v>
      </c>
      <c r="G10">
        <v>3000</v>
      </c>
      <c r="H10">
        <v>30000</v>
      </c>
      <c r="I10" t="s">
        <v>20</v>
      </c>
      <c r="J10" t="s">
        <v>16</v>
      </c>
      <c r="K10" t="s">
        <v>17</v>
      </c>
      <c r="L10" t="str">
        <f t="shared" si="0"/>
        <v>Jan</v>
      </c>
    </row>
    <row r="11" spans="1:12" x14ac:dyDescent="0.3">
      <c r="A11" s="1" t="s">
        <v>29</v>
      </c>
      <c r="B11">
        <v>3010</v>
      </c>
      <c r="C11" t="s">
        <v>34</v>
      </c>
      <c r="D11" t="s">
        <v>35</v>
      </c>
      <c r="E11" t="s">
        <v>36</v>
      </c>
      <c r="F11">
        <v>18</v>
      </c>
      <c r="G11">
        <v>7000</v>
      </c>
      <c r="H11">
        <f>F11*G11</f>
        <v>126000</v>
      </c>
      <c r="I11" t="s">
        <v>20</v>
      </c>
      <c r="J11" t="s">
        <v>16</v>
      </c>
      <c r="K11" t="s">
        <v>26</v>
      </c>
      <c r="L11" t="str">
        <f t="shared" si="0"/>
        <v>Jan</v>
      </c>
    </row>
    <row r="12" spans="1:12" x14ac:dyDescent="0.3">
      <c r="A12" s="1">
        <v>46138</v>
      </c>
      <c r="B12">
        <v>3011</v>
      </c>
      <c r="C12" t="s">
        <v>44</v>
      </c>
      <c r="D12" t="s">
        <v>35</v>
      </c>
      <c r="E12" t="s">
        <v>45</v>
      </c>
      <c r="F12">
        <v>11</v>
      </c>
      <c r="G12">
        <v>2000</v>
      </c>
      <c r="H12">
        <v>22000</v>
      </c>
      <c r="I12" t="s">
        <v>32</v>
      </c>
      <c r="J12" t="s">
        <v>21</v>
      </c>
      <c r="K12" t="s">
        <v>17</v>
      </c>
      <c r="L12" t="str">
        <f t="shared" si="0"/>
        <v>Apr</v>
      </c>
    </row>
    <row r="13" spans="1:12" x14ac:dyDescent="0.3">
      <c r="A13" s="1" t="s">
        <v>46</v>
      </c>
      <c r="B13">
        <v>3012</v>
      </c>
      <c r="C13" t="s">
        <v>12</v>
      </c>
      <c r="D13" t="s">
        <v>13</v>
      </c>
      <c r="E13" t="s">
        <v>14</v>
      </c>
      <c r="F13">
        <v>11</v>
      </c>
      <c r="G13">
        <v>5000</v>
      </c>
      <c r="H13">
        <v>55000</v>
      </c>
      <c r="I13" t="s">
        <v>15</v>
      </c>
      <c r="J13" t="s">
        <v>21</v>
      </c>
      <c r="K13" t="s">
        <v>17</v>
      </c>
      <c r="L13" t="str">
        <f t="shared" si="0"/>
        <v>Jan</v>
      </c>
    </row>
    <row r="14" spans="1:12" x14ac:dyDescent="0.3">
      <c r="A14" s="1" t="s">
        <v>47</v>
      </c>
      <c r="B14">
        <v>3013</v>
      </c>
      <c r="C14" t="s">
        <v>40</v>
      </c>
      <c r="D14" t="s">
        <v>24</v>
      </c>
      <c r="E14" t="s">
        <v>41</v>
      </c>
      <c r="F14">
        <v>15</v>
      </c>
      <c r="G14">
        <v>1500</v>
      </c>
      <c r="H14">
        <v>22500</v>
      </c>
      <c r="I14" t="s">
        <v>20</v>
      </c>
      <c r="J14" t="s">
        <v>16</v>
      </c>
      <c r="K14" t="s">
        <v>17</v>
      </c>
      <c r="L14" t="str">
        <f t="shared" si="0"/>
        <v>Jan</v>
      </c>
    </row>
    <row r="15" spans="1:12" x14ac:dyDescent="0.3">
      <c r="A15" s="1" t="s">
        <v>27</v>
      </c>
      <c r="B15">
        <v>3014</v>
      </c>
      <c r="C15" t="s">
        <v>12</v>
      </c>
      <c r="D15" t="s">
        <v>13</v>
      </c>
      <c r="E15" t="s">
        <v>14</v>
      </c>
      <c r="F15">
        <v>20</v>
      </c>
      <c r="G15">
        <v>800</v>
      </c>
      <c r="H15">
        <v>16000</v>
      </c>
      <c r="I15" t="s">
        <v>38</v>
      </c>
      <c r="J15" t="s">
        <v>48</v>
      </c>
      <c r="K15" t="s">
        <v>26</v>
      </c>
      <c r="L15" t="str">
        <f t="shared" si="0"/>
        <v>Jan</v>
      </c>
    </row>
    <row r="16" spans="1:12" x14ac:dyDescent="0.3">
      <c r="A16" s="1" t="s">
        <v>49</v>
      </c>
      <c r="B16">
        <v>3015</v>
      </c>
      <c r="C16" t="s">
        <v>40</v>
      </c>
      <c r="D16" t="s">
        <v>24</v>
      </c>
      <c r="E16" t="s">
        <v>41</v>
      </c>
      <c r="F16">
        <v>2</v>
      </c>
      <c r="G16">
        <v>800</v>
      </c>
      <c r="H16">
        <v>1600</v>
      </c>
      <c r="I16" t="s">
        <v>32</v>
      </c>
      <c r="J16" t="s">
        <v>28</v>
      </c>
      <c r="K16" t="s">
        <v>26</v>
      </c>
      <c r="L16" t="str">
        <f t="shared" si="0"/>
        <v>Jan</v>
      </c>
    </row>
    <row r="17" spans="1:12" x14ac:dyDescent="0.3">
      <c r="A17" s="1" t="s">
        <v>50</v>
      </c>
      <c r="B17">
        <v>3016</v>
      </c>
      <c r="C17" t="s">
        <v>34</v>
      </c>
      <c r="D17" t="s">
        <v>35</v>
      </c>
      <c r="E17" t="s">
        <v>36</v>
      </c>
      <c r="F17">
        <v>12</v>
      </c>
      <c r="G17">
        <v>7000</v>
      </c>
      <c r="H17">
        <f>F17*G17</f>
        <v>84000</v>
      </c>
      <c r="I17" t="s">
        <v>32</v>
      </c>
      <c r="J17" t="s">
        <v>16</v>
      </c>
      <c r="K17" t="s">
        <v>17</v>
      </c>
      <c r="L17" t="str">
        <f t="shared" si="0"/>
        <v>Jan</v>
      </c>
    </row>
    <row r="18" spans="1:12" x14ac:dyDescent="0.3">
      <c r="A18" s="1" t="s">
        <v>51</v>
      </c>
      <c r="B18">
        <v>3017</v>
      </c>
      <c r="C18" t="s">
        <v>44</v>
      </c>
      <c r="D18" t="s">
        <v>35</v>
      </c>
      <c r="E18" t="s">
        <v>45</v>
      </c>
      <c r="F18">
        <v>8</v>
      </c>
      <c r="G18">
        <v>500</v>
      </c>
      <c r="H18">
        <v>4000</v>
      </c>
      <c r="I18" t="s">
        <v>38</v>
      </c>
      <c r="J18" t="s">
        <v>28</v>
      </c>
      <c r="K18" t="s">
        <v>17</v>
      </c>
      <c r="L18" t="str">
        <f t="shared" si="0"/>
        <v>Jan</v>
      </c>
    </row>
    <row r="19" spans="1:12" x14ac:dyDescent="0.3">
      <c r="A19" s="1" t="s">
        <v>52</v>
      </c>
      <c r="B19">
        <v>3018</v>
      </c>
      <c r="C19" t="s">
        <v>30</v>
      </c>
      <c r="D19" t="s">
        <v>13</v>
      </c>
      <c r="E19" t="s">
        <v>31</v>
      </c>
      <c r="F19">
        <v>15</v>
      </c>
      <c r="G19">
        <v>1500</v>
      </c>
      <c r="H19">
        <v>22500</v>
      </c>
      <c r="I19" t="s">
        <v>38</v>
      </c>
      <c r="J19" t="s">
        <v>21</v>
      </c>
      <c r="K19" t="s">
        <v>17</v>
      </c>
      <c r="L19" t="str">
        <f t="shared" si="0"/>
        <v>Feb</v>
      </c>
    </row>
    <row r="20" spans="1:12" x14ac:dyDescent="0.3">
      <c r="A20" s="1" t="s">
        <v>53</v>
      </c>
      <c r="B20">
        <v>3019</v>
      </c>
      <c r="C20" t="s">
        <v>30</v>
      </c>
      <c r="D20" t="s">
        <v>13</v>
      </c>
      <c r="E20" t="s">
        <v>31</v>
      </c>
      <c r="F20">
        <v>4</v>
      </c>
      <c r="G20">
        <v>500</v>
      </c>
      <c r="H20">
        <v>2000</v>
      </c>
      <c r="I20" t="s">
        <v>38</v>
      </c>
      <c r="J20" t="s">
        <v>28</v>
      </c>
      <c r="K20" t="s">
        <v>26</v>
      </c>
      <c r="L20" t="str">
        <f t="shared" si="0"/>
        <v>Feb</v>
      </c>
    </row>
    <row r="21" spans="1:12" x14ac:dyDescent="0.3">
      <c r="A21" s="1" t="s">
        <v>54</v>
      </c>
      <c r="B21">
        <v>3020</v>
      </c>
      <c r="C21" t="s">
        <v>55</v>
      </c>
      <c r="D21" t="s">
        <v>13</v>
      </c>
      <c r="E21" t="s">
        <v>31</v>
      </c>
      <c r="F21">
        <v>19</v>
      </c>
      <c r="G21">
        <v>2000</v>
      </c>
      <c r="H21">
        <v>38000</v>
      </c>
      <c r="I21" t="s">
        <v>32</v>
      </c>
      <c r="J21" t="s">
        <v>28</v>
      </c>
      <c r="K21" t="s">
        <v>26</v>
      </c>
      <c r="L21" t="str">
        <f t="shared" si="0"/>
        <v>Feb</v>
      </c>
    </row>
    <row r="22" spans="1:12" x14ac:dyDescent="0.3">
      <c r="A22" s="1" t="s">
        <v>56</v>
      </c>
      <c r="B22">
        <v>3021</v>
      </c>
      <c r="C22" t="s">
        <v>55</v>
      </c>
      <c r="D22" t="s">
        <v>13</v>
      </c>
      <c r="E22" t="s">
        <v>31</v>
      </c>
      <c r="F22">
        <v>14</v>
      </c>
      <c r="G22">
        <v>5000</v>
      </c>
      <c r="H22">
        <v>70000</v>
      </c>
      <c r="I22" t="s">
        <v>20</v>
      </c>
      <c r="J22" t="s">
        <v>21</v>
      </c>
      <c r="K22" t="s">
        <v>17</v>
      </c>
      <c r="L22" t="str">
        <f t="shared" si="0"/>
        <v>Jan</v>
      </c>
    </row>
    <row r="23" spans="1:12" x14ac:dyDescent="0.3">
      <c r="A23" s="1" t="s">
        <v>57</v>
      </c>
      <c r="B23">
        <v>3022</v>
      </c>
      <c r="C23" t="s">
        <v>23</v>
      </c>
      <c r="D23" t="s">
        <v>24</v>
      </c>
      <c r="E23" t="s">
        <v>25</v>
      </c>
      <c r="F23">
        <v>14</v>
      </c>
      <c r="G23">
        <v>5000</v>
      </c>
      <c r="H23">
        <v>70000</v>
      </c>
      <c r="I23" t="s">
        <v>15</v>
      </c>
      <c r="J23" t="s">
        <v>16</v>
      </c>
      <c r="K23" t="s">
        <v>26</v>
      </c>
      <c r="L23" t="str">
        <f t="shared" si="0"/>
        <v>Feb</v>
      </c>
    </row>
    <row r="24" spans="1:12" x14ac:dyDescent="0.3">
      <c r="A24" s="1" t="s">
        <v>58</v>
      </c>
      <c r="B24">
        <v>3023</v>
      </c>
      <c r="C24" t="s">
        <v>30</v>
      </c>
      <c r="D24" t="s">
        <v>13</v>
      </c>
      <c r="E24" t="s">
        <v>31</v>
      </c>
      <c r="F24">
        <v>1</v>
      </c>
      <c r="G24">
        <v>2000</v>
      </c>
      <c r="H24">
        <v>2000</v>
      </c>
      <c r="I24" t="s">
        <v>38</v>
      </c>
      <c r="J24" t="s">
        <v>21</v>
      </c>
      <c r="K24" t="s">
        <v>26</v>
      </c>
      <c r="L24" t="str">
        <f t="shared" si="0"/>
        <v>Feb</v>
      </c>
    </row>
    <row r="25" spans="1:12" x14ac:dyDescent="0.3">
      <c r="A25" s="1" t="s">
        <v>39</v>
      </c>
      <c r="B25">
        <v>3024</v>
      </c>
      <c r="C25" t="s">
        <v>44</v>
      </c>
      <c r="D25" t="s">
        <v>35</v>
      </c>
      <c r="E25" t="s">
        <v>45</v>
      </c>
      <c r="F25">
        <v>6</v>
      </c>
      <c r="G25">
        <v>800</v>
      </c>
      <c r="H25">
        <v>4800</v>
      </c>
      <c r="I25" t="s">
        <v>20</v>
      </c>
      <c r="J25" t="s">
        <v>21</v>
      </c>
      <c r="K25" t="s">
        <v>17</v>
      </c>
      <c r="L25" t="str">
        <f t="shared" si="0"/>
        <v>Jan</v>
      </c>
    </row>
    <row r="26" spans="1:12" x14ac:dyDescent="0.3">
      <c r="A26" s="1" t="s">
        <v>59</v>
      </c>
      <c r="B26">
        <v>3025</v>
      </c>
      <c r="C26" t="s">
        <v>44</v>
      </c>
      <c r="D26" t="s">
        <v>35</v>
      </c>
      <c r="E26" t="s">
        <v>45</v>
      </c>
      <c r="F26">
        <v>20</v>
      </c>
      <c r="G26">
        <v>5000</v>
      </c>
      <c r="H26">
        <v>100000</v>
      </c>
      <c r="I26" t="s">
        <v>15</v>
      </c>
      <c r="J26" t="s">
        <v>21</v>
      </c>
      <c r="K26" t="s">
        <v>17</v>
      </c>
      <c r="L26" t="str">
        <f t="shared" si="0"/>
        <v>Jan</v>
      </c>
    </row>
    <row r="27" spans="1:12" x14ac:dyDescent="0.3">
      <c r="A27" s="1" t="s">
        <v>60</v>
      </c>
      <c r="B27">
        <v>3026</v>
      </c>
      <c r="C27" t="s">
        <v>34</v>
      </c>
      <c r="D27" t="s">
        <v>35</v>
      </c>
      <c r="E27" t="s">
        <v>36</v>
      </c>
      <c r="F27">
        <v>18</v>
      </c>
      <c r="G27">
        <v>7000</v>
      </c>
      <c r="H27">
        <f>F27*G27</f>
        <v>126000</v>
      </c>
      <c r="I27" t="s">
        <v>15</v>
      </c>
      <c r="J27" t="s">
        <v>16</v>
      </c>
      <c r="K27" t="s">
        <v>26</v>
      </c>
      <c r="L27" t="str">
        <f t="shared" si="0"/>
        <v>Feb</v>
      </c>
    </row>
    <row r="28" spans="1:12" x14ac:dyDescent="0.3">
      <c r="A28" s="1" t="s">
        <v>61</v>
      </c>
      <c r="B28">
        <v>3027</v>
      </c>
      <c r="C28" t="s">
        <v>30</v>
      </c>
      <c r="D28" t="s">
        <v>13</v>
      </c>
      <c r="E28" t="s">
        <v>31</v>
      </c>
      <c r="F28">
        <v>8</v>
      </c>
      <c r="G28">
        <v>1500</v>
      </c>
      <c r="H28">
        <v>12000</v>
      </c>
      <c r="I28" t="s">
        <v>32</v>
      </c>
      <c r="J28" t="s">
        <v>28</v>
      </c>
      <c r="K28" t="s">
        <v>17</v>
      </c>
      <c r="L28" t="str">
        <f t="shared" si="0"/>
        <v>Mar</v>
      </c>
    </row>
    <row r="29" spans="1:12" x14ac:dyDescent="0.3">
      <c r="A29" s="1" t="s">
        <v>62</v>
      </c>
      <c r="B29">
        <v>3028</v>
      </c>
      <c r="C29" t="s">
        <v>19</v>
      </c>
      <c r="D29" t="s">
        <v>13</v>
      </c>
      <c r="E29" t="s">
        <v>14</v>
      </c>
      <c r="F29">
        <v>1</v>
      </c>
      <c r="G29">
        <v>5000</v>
      </c>
      <c r="H29">
        <v>5000</v>
      </c>
      <c r="I29" t="s">
        <v>32</v>
      </c>
      <c r="J29" t="s">
        <v>16</v>
      </c>
      <c r="K29" t="s">
        <v>26</v>
      </c>
      <c r="L29" t="str">
        <f t="shared" si="0"/>
        <v>Feb</v>
      </c>
    </row>
    <row r="30" spans="1:12" x14ac:dyDescent="0.3">
      <c r="A30" s="1" t="s">
        <v>49</v>
      </c>
      <c r="B30">
        <v>3029</v>
      </c>
      <c r="C30" t="s">
        <v>40</v>
      </c>
      <c r="D30" t="s">
        <v>24</v>
      </c>
      <c r="E30" t="s">
        <v>41</v>
      </c>
      <c r="F30">
        <v>8</v>
      </c>
      <c r="G30">
        <v>1500</v>
      </c>
      <c r="H30">
        <v>12000</v>
      </c>
      <c r="I30" t="s">
        <v>32</v>
      </c>
      <c r="J30" t="s">
        <v>48</v>
      </c>
      <c r="K30" t="s">
        <v>26</v>
      </c>
      <c r="L30" t="str">
        <f t="shared" si="0"/>
        <v>Jan</v>
      </c>
    </row>
    <row r="31" spans="1:12" x14ac:dyDescent="0.3">
      <c r="A31" s="1" t="s">
        <v>62</v>
      </c>
      <c r="B31">
        <v>3030</v>
      </c>
      <c r="C31" t="s">
        <v>34</v>
      </c>
      <c r="D31" t="s">
        <v>35</v>
      </c>
      <c r="E31" t="s">
        <v>36</v>
      </c>
      <c r="F31">
        <v>20</v>
      </c>
      <c r="G31">
        <v>9000</v>
      </c>
      <c r="H31">
        <f>F31*G31</f>
        <v>180000</v>
      </c>
      <c r="I31" t="s">
        <v>32</v>
      </c>
      <c r="J31" t="s">
        <v>48</v>
      </c>
      <c r="K31" t="s">
        <v>17</v>
      </c>
      <c r="L31" t="str">
        <f t="shared" si="0"/>
        <v>Feb</v>
      </c>
    </row>
    <row r="32" spans="1:12" x14ac:dyDescent="0.3">
      <c r="A32" s="1" t="s">
        <v>63</v>
      </c>
      <c r="B32">
        <v>3031</v>
      </c>
      <c r="C32" t="s">
        <v>12</v>
      </c>
      <c r="D32" t="s">
        <v>13</v>
      </c>
      <c r="E32" t="s">
        <v>14</v>
      </c>
      <c r="F32">
        <v>9</v>
      </c>
      <c r="G32">
        <v>1500</v>
      </c>
      <c r="H32">
        <v>13500</v>
      </c>
      <c r="I32" t="s">
        <v>20</v>
      </c>
      <c r="J32" t="s">
        <v>21</v>
      </c>
      <c r="K32" t="s">
        <v>17</v>
      </c>
      <c r="L32" t="str">
        <f t="shared" si="0"/>
        <v>Jan</v>
      </c>
    </row>
    <row r="33" spans="1:12" x14ac:dyDescent="0.3">
      <c r="A33" s="1" t="s">
        <v>64</v>
      </c>
      <c r="B33">
        <v>3032</v>
      </c>
      <c r="C33" t="s">
        <v>55</v>
      </c>
      <c r="D33" t="s">
        <v>13</v>
      </c>
      <c r="E33" t="s">
        <v>31</v>
      </c>
      <c r="F33">
        <v>11</v>
      </c>
      <c r="G33">
        <v>1500</v>
      </c>
      <c r="H33">
        <v>16500</v>
      </c>
      <c r="I33" t="s">
        <v>38</v>
      </c>
      <c r="J33" t="s">
        <v>21</v>
      </c>
      <c r="K33" t="s">
        <v>26</v>
      </c>
      <c r="L33" t="str">
        <f t="shared" si="0"/>
        <v>Jan</v>
      </c>
    </row>
    <row r="34" spans="1:12" x14ac:dyDescent="0.3">
      <c r="A34" s="1" t="s">
        <v>65</v>
      </c>
      <c r="B34">
        <v>3033</v>
      </c>
      <c r="C34" t="s">
        <v>55</v>
      </c>
      <c r="D34" t="s">
        <v>13</v>
      </c>
      <c r="E34" t="s">
        <v>31</v>
      </c>
      <c r="F34">
        <v>1</v>
      </c>
      <c r="G34">
        <v>800</v>
      </c>
      <c r="H34">
        <v>800</v>
      </c>
      <c r="I34" t="s">
        <v>20</v>
      </c>
      <c r="J34" t="s">
        <v>28</v>
      </c>
      <c r="K34" t="s">
        <v>17</v>
      </c>
      <c r="L34" t="str">
        <f t="shared" si="0"/>
        <v>Jan</v>
      </c>
    </row>
    <row r="35" spans="1:12" x14ac:dyDescent="0.3">
      <c r="A35" s="1" t="s">
        <v>66</v>
      </c>
      <c r="B35">
        <v>3034</v>
      </c>
      <c r="C35" t="s">
        <v>34</v>
      </c>
      <c r="D35" t="s">
        <v>35</v>
      </c>
      <c r="E35" t="s">
        <v>36</v>
      </c>
      <c r="F35">
        <v>3</v>
      </c>
      <c r="G35">
        <v>6000</v>
      </c>
      <c r="H35">
        <f t="shared" ref="H35:H36" si="1">F35*G35</f>
        <v>18000</v>
      </c>
      <c r="I35" t="s">
        <v>38</v>
      </c>
      <c r="J35" t="s">
        <v>28</v>
      </c>
      <c r="K35" t="s">
        <v>17</v>
      </c>
      <c r="L35" t="str">
        <f t="shared" si="0"/>
        <v>Jan</v>
      </c>
    </row>
    <row r="36" spans="1:12" x14ac:dyDescent="0.3">
      <c r="A36" s="1" t="s">
        <v>67</v>
      </c>
      <c r="B36">
        <v>3035</v>
      </c>
      <c r="C36" t="s">
        <v>34</v>
      </c>
      <c r="D36" t="s">
        <v>35</v>
      </c>
      <c r="E36" t="s">
        <v>36</v>
      </c>
      <c r="F36">
        <v>14</v>
      </c>
      <c r="G36">
        <v>8000</v>
      </c>
      <c r="H36">
        <f t="shared" si="1"/>
        <v>112000</v>
      </c>
      <c r="I36" t="s">
        <v>15</v>
      </c>
      <c r="J36" t="s">
        <v>21</v>
      </c>
      <c r="K36" t="s">
        <v>17</v>
      </c>
      <c r="L36" t="str">
        <f t="shared" si="0"/>
        <v>Feb</v>
      </c>
    </row>
    <row r="37" spans="1:12" x14ac:dyDescent="0.3">
      <c r="A37" s="1" t="s">
        <v>68</v>
      </c>
      <c r="B37">
        <v>3036</v>
      </c>
      <c r="C37" t="s">
        <v>55</v>
      </c>
      <c r="D37" t="s">
        <v>13</v>
      </c>
      <c r="E37" t="s">
        <v>31</v>
      </c>
      <c r="F37">
        <v>18</v>
      </c>
      <c r="G37">
        <v>5000</v>
      </c>
      <c r="H37">
        <v>90000</v>
      </c>
      <c r="I37" t="s">
        <v>32</v>
      </c>
      <c r="J37" t="s">
        <v>48</v>
      </c>
      <c r="K37" t="s">
        <v>26</v>
      </c>
      <c r="L37" t="str">
        <f t="shared" si="0"/>
        <v>Jan</v>
      </c>
    </row>
    <row r="38" spans="1:12" x14ac:dyDescent="0.3">
      <c r="A38" s="1" t="s">
        <v>69</v>
      </c>
      <c r="B38">
        <v>3037</v>
      </c>
      <c r="C38" t="s">
        <v>30</v>
      </c>
      <c r="D38" t="s">
        <v>13</v>
      </c>
      <c r="E38" t="s">
        <v>31</v>
      </c>
      <c r="F38">
        <v>18</v>
      </c>
      <c r="G38">
        <v>5000</v>
      </c>
      <c r="H38">
        <v>90000</v>
      </c>
      <c r="I38" t="s">
        <v>38</v>
      </c>
      <c r="J38" t="s">
        <v>48</v>
      </c>
      <c r="K38" t="s">
        <v>26</v>
      </c>
      <c r="L38" t="str">
        <f t="shared" si="0"/>
        <v>Jan</v>
      </c>
    </row>
    <row r="39" spans="1:12" x14ac:dyDescent="0.3">
      <c r="A39" s="1" t="s">
        <v>70</v>
      </c>
      <c r="B39">
        <v>3038</v>
      </c>
      <c r="C39" t="s">
        <v>40</v>
      </c>
      <c r="D39" t="s">
        <v>24</v>
      </c>
      <c r="E39" t="s">
        <v>41</v>
      </c>
      <c r="F39">
        <v>18</v>
      </c>
      <c r="G39">
        <v>2000</v>
      </c>
      <c r="H39">
        <v>36000</v>
      </c>
      <c r="I39" t="s">
        <v>32</v>
      </c>
      <c r="J39" t="s">
        <v>48</v>
      </c>
      <c r="K39" t="s">
        <v>17</v>
      </c>
      <c r="L39" t="str">
        <f t="shared" si="0"/>
        <v>Feb</v>
      </c>
    </row>
    <row r="40" spans="1:12" x14ac:dyDescent="0.3">
      <c r="A40" s="1" t="s">
        <v>71</v>
      </c>
      <c r="B40">
        <v>3039</v>
      </c>
      <c r="C40" t="s">
        <v>19</v>
      </c>
      <c r="D40" t="s">
        <v>13</v>
      </c>
      <c r="E40" t="s">
        <v>14</v>
      </c>
      <c r="F40">
        <v>10</v>
      </c>
      <c r="G40">
        <v>3000</v>
      </c>
      <c r="H40">
        <v>30000</v>
      </c>
      <c r="I40" t="s">
        <v>20</v>
      </c>
      <c r="J40" t="s">
        <v>48</v>
      </c>
      <c r="K40" t="s">
        <v>26</v>
      </c>
      <c r="L40" t="str">
        <f t="shared" si="0"/>
        <v>Jan</v>
      </c>
    </row>
    <row r="41" spans="1:12" x14ac:dyDescent="0.3">
      <c r="A41" s="1" t="s">
        <v>72</v>
      </c>
      <c r="B41">
        <v>3040</v>
      </c>
      <c r="C41" t="s">
        <v>12</v>
      </c>
      <c r="D41" t="s">
        <v>13</v>
      </c>
      <c r="E41" t="s">
        <v>14</v>
      </c>
      <c r="F41">
        <v>19</v>
      </c>
      <c r="G41">
        <v>500</v>
      </c>
      <c r="H41">
        <v>9500</v>
      </c>
      <c r="I41" t="s">
        <v>20</v>
      </c>
      <c r="J41" t="s">
        <v>16</v>
      </c>
      <c r="K41" t="s">
        <v>17</v>
      </c>
      <c r="L41" t="str">
        <f t="shared" si="0"/>
        <v>Jan</v>
      </c>
    </row>
    <row r="42" spans="1:12" x14ac:dyDescent="0.3">
      <c r="A42" s="1" t="s">
        <v>73</v>
      </c>
      <c r="B42">
        <v>3041</v>
      </c>
      <c r="C42" t="s">
        <v>55</v>
      </c>
      <c r="D42" t="s">
        <v>13</v>
      </c>
      <c r="E42" t="s">
        <v>31</v>
      </c>
      <c r="F42">
        <v>18</v>
      </c>
      <c r="G42">
        <v>800</v>
      </c>
      <c r="H42">
        <v>14400</v>
      </c>
      <c r="I42" t="s">
        <v>15</v>
      </c>
      <c r="J42" t="s">
        <v>48</v>
      </c>
      <c r="K42" t="s">
        <v>17</v>
      </c>
      <c r="L42" t="str">
        <f t="shared" si="0"/>
        <v>Jan</v>
      </c>
    </row>
    <row r="43" spans="1:12" x14ac:dyDescent="0.3">
      <c r="A43" s="1" t="s">
        <v>65</v>
      </c>
      <c r="B43">
        <v>3042</v>
      </c>
      <c r="C43" t="s">
        <v>12</v>
      </c>
      <c r="D43" t="s">
        <v>13</v>
      </c>
      <c r="E43" t="s">
        <v>14</v>
      </c>
      <c r="F43">
        <v>17</v>
      </c>
      <c r="G43">
        <v>2000</v>
      </c>
      <c r="H43">
        <v>34000</v>
      </c>
      <c r="I43" t="s">
        <v>20</v>
      </c>
      <c r="J43" t="s">
        <v>48</v>
      </c>
      <c r="K43" t="s">
        <v>17</v>
      </c>
      <c r="L43" t="str">
        <f t="shared" si="0"/>
        <v>Jan</v>
      </c>
    </row>
    <row r="44" spans="1:12" x14ac:dyDescent="0.3">
      <c r="A44" s="1" t="s">
        <v>18</v>
      </c>
      <c r="B44">
        <v>3043</v>
      </c>
      <c r="C44" t="s">
        <v>23</v>
      </c>
      <c r="D44" t="s">
        <v>24</v>
      </c>
      <c r="E44" t="s">
        <v>25</v>
      </c>
      <c r="F44">
        <v>12</v>
      </c>
      <c r="G44">
        <v>2000</v>
      </c>
      <c r="H44">
        <v>24000</v>
      </c>
      <c r="I44" t="s">
        <v>20</v>
      </c>
      <c r="J44" t="s">
        <v>28</v>
      </c>
      <c r="K44" t="s">
        <v>17</v>
      </c>
      <c r="L44" t="str">
        <f t="shared" si="0"/>
        <v>Jan</v>
      </c>
    </row>
    <row r="45" spans="1:12" x14ac:dyDescent="0.3">
      <c r="A45" s="1" t="s">
        <v>51</v>
      </c>
      <c r="B45">
        <v>3044</v>
      </c>
      <c r="C45" t="s">
        <v>55</v>
      </c>
      <c r="D45" t="s">
        <v>13</v>
      </c>
      <c r="E45" t="s">
        <v>31</v>
      </c>
      <c r="F45">
        <v>15</v>
      </c>
      <c r="G45">
        <v>5000</v>
      </c>
      <c r="H45">
        <v>75000</v>
      </c>
      <c r="I45" t="s">
        <v>20</v>
      </c>
      <c r="J45" t="s">
        <v>16</v>
      </c>
      <c r="K45" t="s">
        <v>17</v>
      </c>
      <c r="L45" t="str">
        <f t="shared" si="0"/>
        <v>Jan</v>
      </c>
    </row>
    <row r="46" spans="1:12" x14ac:dyDescent="0.3">
      <c r="A46" s="1">
        <v>46232</v>
      </c>
      <c r="B46">
        <v>3045</v>
      </c>
      <c r="C46" t="s">
        <v>44</v>
      </c>
      <c r="D46" t="s">
        <v>35</v>
      </c>
      <c r="E46" t="s">
        <v>45</v>
      </c>
      <c r="F46">
        <v>18</v>
      </c>
      <c r="G46">
        <v>5000</v>
      </c>
      <c r="H46">
        <v>90000</v>
      </c>
      <c r="I46" t="s">
        <v>32</v>
      </c>
      <c r="J46" t="s">
        <v>16</v>
      </c>
      <c r="K46" t="s">
        <v>26</v>
      </c>
      <c r="L46" t="str">
        <f t="shared" si="0"/>
        <v>Jul</v>
      </c>
    </row>
    <row r="47" spans="1:12" x14ac:dyDescent="0.3">
      <c r="A47" s="1" t="s">
        <v>75</v>
      </c>
      <c r="B47">
        <v>3046</v>
      </c>
      <c r="C47" t="s">
        <v>40</v>
      </c>
      <c r="D47" t="s">
        <v>24</v>
      </c>
      <c r="E47" t="s">
        <v>41</v>
      </c>
      <c r="F47">
        <v>13</v>
      </c>
      <c r="G47">
        <v>800</v>
      </c>
      <c r="H47">
        <v>10400</v>
      </c>
      <c r="I47" t="s">
        <v>20</v>
      </c>
      <c r="J47" t="s">
        <v>16</v>
      </c>
      <c r="K47" t="s">
        <v>17</v>
      </c>
      <c r="L47" t="str">
        <f t="shared" si="0"/>
        <v>Jan</v>
      </c>
    </row>
    <row r="48" spans="1:12" x14ac:dyDescent="0.3">
      <c r="A48" s="1" t="s">
        <v>76</v>
      </c>
      <c r="B48">
        <v>3047</v>
      </c>
      <c r="C48" t="s">
        <v>12</v>
      </c>
      <c r="D48" t="s">
        <v>13</v>
      </c>
      <c r="E48" t="s">
        <v>14</v>
      </c>
      <c r="F48">
        <v>8</v>
      </c>
      <c r="G48">
        <v>800</v>
      </c>
      <c r="H48">
        <v>6400</v>
      </c>
      <c r="I48" t="s">
        <v>15</v>
      </c>
      <c r="J48" t="s">
        <v>48</v>
      </c>
      <c r="K48" t="s">
        <v>26</v>
      </c>
      <c r="L48" t="str">
        <f t="shared" si="0"/>
        <v>Feb</v>
      </c>
    </row>
    <row r="49" spans="1:12" x14ac:dyDescent="0.3">
      <c r="A49" s="1">
        <v>46239</v>
      </c>
      <c r="B49">
        <v>3048</v>
      </c>
      <c r="C49" t="s">
        <v>44</v>
      </c>
      <c r="D49" t="s">
        <v>35</v>
      </c>
      <c r="E49" t="s">
        <v>45</v>
      </c>
      <c r="F49">
        <v>19</v>
      </c>
      <c r="G49">
        <v>5000</v>
      </c>
      <c r="H49">
        <v>95000</v>
      </c>
      <c r="I49" t="s">
        <v>38</v>
      </c>
      <c r="J49" t="s">
        <v>21</v>
      </c>
      <c r="K49" t="s">
        <v>17</v>
      </c>
      <c r="L49" t="str">
        <f t="shared" si="0"/>
        <v>Aug</v>
      </c>
    </row>
    <row r="50" spans="1:12" x14ac:dyDescent="0.3">
      <c r="A50" s="1" t="s">
        <v>77</v>
      </c>
      <c r="B50">
        <v>3049</v>
      </c>
      <c r="C50" t="s">
        <v>23</v>
      </c>
      <c r="D50" t="s">
        <v>24</v>
      </c>
      <c r="E50" t="s">
        <v>25</v>
      </c>
      <c r="F50">
        <v>9</v>
      </c>
      <c r="G50">
        <v>1500</v>
      </c>
      <c r="H50">
        <v>13500</v>
      </c>
      <c r="I50" t="s">
        <v>15</v>
      </c>
      <c r="J50" t="s">
        <v>48</v>
      </c>
      <c r="K50" t="s">
        <v>17</v>
      </c>
      <c r="L50" t="str">
        <f t="shared" si="0"/>
        <v>Feb</v>
      </c>
    </row>
    <row r="51" spans="1:12" x14ac:dyDescent="0.3">
      <c r="A51" s="1" t="s">
        <v>50</v>
      </c>
      <c r="B51">
        <v>3050</v>
      </c>
      <c r="C51" t="s">
        <v>19</v>
      </c>
      <c r="D51" t="s">
        <v>13</v>
      </c>
      <c r="E51" t="s">
        <v>14</v>
      </c>
      <c r="F51">
        <v>11</v>
      </c>
      <c r="G51">
        <v>1500</v>
      </c>
      <c r="H51">
        <v>16500</v>
      </c>
      <c r="I51" t="s">
        <v>38</v>
      </c>
      <c r="J51" t="s">
        <v>21</v>
      </c>
      <c r="K51" t="s">
        <v>17</v>
      </c>
      <c r="L51" t="str">
        <f t="shared" si="0"/>
        <v>Jan</v>
      </c>
    </row>
    <row r="52" spans="1:12" x14ac:dyDescent="0.3">
      <c r="A52" s="1" t="s">
        <v>39</v>
      </c>
      <c r="B52">
        <v>3051</v>
      </c>
      <c r="C52" t="s">
        <v>23</v>
      </c>
      <c r="D52" t="s">
        <v>24</v>
      </c>
      <c r="E52" t="s">
        <v>25</v>
      </c>
      <c r="F52">
        <v>2</v>
      </c>
      <c r="G52">
        <v>2000</v>
      </c>
      <c r="H52">
        <v>4000</v>
      </c>
      <c r="I52" t="s">
        <v>15</v>
      </c>
      <c r="J52" t="s">
        <v>48</v>
      </c>
      <c r="K52" t="s">
        <v>26</v>
      </c>
      <c r="L52" t="str">
        <f t="shared" si="0"/>
        <v>Jan</v>
      </c>
    </row>
    <row r="53" spans="1:12" x14ac:dyDescent="0.3">
      <c r="A53" s="1">
        <v>46250</v>
      </c>
      <c r="B53">
        <v>3052</v>
      </c>
      <c r="C53" t="s">
        <v>55</v>
      </c>
      <c r="D53" t="s">
        <v>13</v>
      </c>
      <c r="E53" t="s">
        <v>31</v>
      </c>
      <c r="F53">
        <v>17</v>
      </c>
      <c r="G53">
        <v>500</v>
      </c>
      <c r="H53">
        <v>8500</v>
      </c>
      <c r="I53" t="s">
        <v>15</v>
      </c>
      <c r="J53" t="s">
        <v>21</v>
      </c>
      <c r="K53" t="s">
        <v>26</v>
      </c>
      <c r="L53" t="str">
        <f t="shared" si="0"/>
        <v>Aug</v>
      </c>
    </row>
    <row r="54" spans="1:12" x14ac:dyDescent="0.3">
      <c r="A54" s="1" t="s">
        <v>78</v>
      </c>
      <c r="B54">
        <v>3053</v>
      </c>
      <c r="C54" t="s">
        <v>40</v>
      </c>
      <c r="D54" t="s">
        <v>24</v>
      </c>
      <c r="E54" t="s">
        <v>41</v>
      </c>
      <c r="F54">
        <v>7</v>
      </c>
      <c r="G54">
        <v>5000</v>
      </c>
      <c r="H54">
        <v>35000</v>
      </c>
      <c r="I54" t="s">
        <v>38</v>
      </c>
      <c r="J54" t="s">
        <v>48</v>
      </c>
      <c r="K54" t="s">
        <v>26</v>
      </c>
      <c r="L54" t="str">
        <f t="shared" si="0"/>
        <v>Jan</v>
      </c>
    </row>
    <row r="55" spans="1:12" x14ac:dyDescent="0.3">
      <c r="A55" s="1" t="s">
        <v>60</v>
      </c>
      <c r="B55">
        <v>3054</v>
      </c>
      <c r="C55" t="s">
        <v>19</v>
      </c>
      <c r="D55" t="s">
        <v>13</v>
      </c>
      <c r="E55" t="s">
        <v>14</v>
      </c>
      <c r="F55">
        <v>12</v>
      </c>
      <c r="G55">
        <v>2000</v>
      </c>
      <c r="H55">
        <v>24000</v>
      </c>
      <c r="I55" t="s">
        <v>15</v>
      </c>
      <c r="J55" t="s">
        <v>16</v>
      </c>
      <c r="K55" t="s">
        <v>26</v>
      </c>
      <c r="L55" t="str">
        <f t="shared" si="0"/>
        <v>Feb</v>
      </c>
    </row>
    <row r="56" spans="1:12" x14ac:dyDescent="0.3">
      <c r="A56" s="1" t="s">
        <v>79</v>
      </c>
      <c r="B56">
        <v>3055</v>
      </c>
      <c r="C56" t="s">
        <v>12</v>
      </c>
      <c r="D56" t="s">
        <v>13</v>
      </c>
      <c r="E56" t="s">
        <v>14</v>
      </c>
      <c r="F56">
        <v>20</v>
      </c>
      <c r="G56">
        <v>1500</v>
      </c>
      <c r="H56">
        <v>30000</v>
      </c>
      <c r="I56" t="s">
        <v>20</v>
      </c>
      <c r="J56" t="s">
        <v>48</v>
      </c>
      <c r="K56" t="s">
        <v>17</v>
      </c>
      <c r="L56" t="str">
        <f t="shared" si="0"/>
        <v>Mar</v>
      </c>
    </row>
    <row r="57" spans="1:12" x14ac:dyDescent="0.3">
      <c r="A57" s="1" t="s">
        <v>43</v>
      </c>
      <c r="B57">
        <v>3056</v>
      </c>
      <c r="C57" t="s">
        <v>23</v>
      </c>
      <c r="D57" t="s">
        <v>24</v>
      </c>
      <c r="E57" t="s">
        <v>25</v>
      </c>
      <c r="F57">
        <v>5</v>
      </c>
      <c r="G57">
        <v>1500</v>
      </c>
      <c r="H57">
        <v>7500</v>
      </c>
      <c r="I57" t="s">
        <v>15</v>
      </c>
      <c r="J57" t="s">
        <v>48</v>
      </c>
      <c r="K57" t="s">
        <v>17</v>
      </c>
      <c r="L57" t="str">
        <f t="shared" si="0"/>
        <v>Feb</v>
      </c>
    </row>
    <row r="58" spans="1:12" x14ac:dyDescent="0.3">
      <c r="A58" s="1" t="s">
        <v>80</v>
      </c>
      <c r="B58">
        <v>3057</v>
      </c>
      <c r="C58" t="s">
        <v>40</v>
      </c>
      <c r="D58" t="s">
        <v>24</v>
      </c>
      <c r="E58" t="s">
        <v>41</v>
      </c>
      <c r="F58">
        <v>9</v>
      </c>
      <c r="G58">
        <v>3000</v>
      </c>
      <c r="H58">
        <v>27000</v>
      </c>
      <c r="I58" t="s">
        <v>32</v>
      </c>
      <c r="J58" t="s">
        <v>48</v>
      </c>
      <c r="K58" t="s">
        <v>26</v>
      </c>
      <c r="L58" t="str">
        <f t="shared" si="0"/>
        <v>Feb</v>
      </c>
    </row>
    <row r="59" spans="1:12" x14ac:dyDescent="0.3">
      <c r="A59" s="1">
        <v>46226</v>
      </c>
      <c r="B59">
        <v>3058</v>
      </c>
      <c r="C59" t="s">
        <v>55</v>
      </c>
      <c r="D59" t="s">
        <v>13</v>
      </c>
      <c r="E59" t="s">
        <v>31</v>
      </c>
      <c r="F59">
        <v>7</v>
      </c>
      <c r="G59">
        <v>500</v>
      </c>
      <c r="H59">
        <v>3500</v>
      </c>
      <c r="I59" t="s">
        <v>15</v>
      </c>
      <c r="J59" t="s">
        <v>48</v>
      </c>
      <c r="K59" t="s">
        <v>17</v>
      </c>
      <c r="L59" t="str">
        <f t="shared" si="0"/>
        <v>Jul</v>
      </c>
    </row>
    <row r="60" spans="1:12" x14ac:dyDescent="0.3">
      <c r="A60" s="1" t="s">
        <v>66</v>
      </c>
      <c r="B60">
        <v>3059</v>
      </c>
      <c r="C60" t="s">
        <v>34</v>
      </c>
      <c r="D60" t="s">
        <v>35</v>
      </c>
      <c r="E60" t="s">
        <v>36</v>
      </c>
      <c r="F60">
        <v>12</v>
      </c>
      <c r="G60">
        <v>8000</v>
      </c>
      <c r="H60">
        <f>F60*G60</f>
        <v>96000</v>
      </c>
      <c r="I60" t="s">
        <v>32</v>
      </c>
      <c r="J60" t="s">
        <v>28</v>
      </c>
      <c r="K60" t="s">
        <v>26</v>
      </c>
      <c r="L60" t="str">
        <f t="shared" si="0"/>
        <v>Jan</v>
      </c>
    </row>
    <row r="61" spans="1:12" x14ac:dyDescent="0.3">
      <c r="A61" s="1" t="s">
        <v>62</v>
      </c>
      <c r="B61">
        <v>3060</v>
      </c>
      <c r="C61" t="s">
        <v>12</v>
      </c>
      <c r="D61" t="s">
        <v>13</v>
      </c>
      <c r="E61" t="s">
        <v>14</v>
      </c>
      <c r="F61">
        <v>4</v>
      </c>
      <c r="G61">
        <v>5000</v>
      </c>
      <c r="H61">
        <v>20000</v>
      </c>
      <c r="I61" t="s">
        <v>20</v>
      </c>
      <c r="J61" t="s">
        <v>16</v>
      </c>
      <c r="K61" t="s">
        <v>17</v>
      </c>
      <c r="L61" t="str">
        <f t="shared" si="0"/>
        <v>Feb</v>
      </c>
    </row>
    <row r="62" spans="1:12" x14ac:dyDescent="0.3">
      <c r="A62" s="1">
        <v>46217</v>
      </c>
      <c r="B62">
        <v>3061</v>
      </c>
      <c r="C62" t="s">
        <v>12</v>
      </c>
      <c r="D62" t="s">
        <v>13</v>
      </c>
      <c r="E62" t="s">
        <v>14</v>
      </c>
      <c r="F62">
        <v>4</v>
      </c>
      <c r="G62">
        <v>2000</v>
      </c>
      <c r="H62">
        <v>8000</v>
      </c>
      <c r="I62" t="s">
        <v>20</v>
      </c>
      <c r="J62" t="s">
        <v>21</v>
      </c>
      <c r="K62" t="s">
        <v>17</v>
      </c>
      <c r="L62" t="str">
        <f t="shared" si="0"/>
        <v>Jul</v>
      </c>
    </row>
    <row r="63" spans="1:12" x14ac:dyDescent="0.3">
      <c r="A63" s="1" t="s">
        <v>78</v>
      </c>
      <c r="B63">
        <v>3062</v>
      </c>
      <c r="C63" t="s">
        <v>12</v>
      </c>
      <c r="D63" t="s">
        <v>13</v>
      </c>
      <c r="E63" t="s">
        <v>14</v>
      </c>
      <c r="F63">
        <v>7</v>
      </c>
      <c r="G63">
        <v>2000</v>
      </c>
      <c r="H63">
        <v>14000</v>
      </c>
      <c r="I63" t="s">
        <v>32</v>
      </c>
      <c r="J63" t="s">
        <v>21</v>
      </c>
      <c r="K63" t="s">
        <v>17</v>
      </c>
      <c r="L63" t="str">
        <f t="shared" si="0"/>
        <v>Jan</v>
      </c>
    </row>
    <row r="64" spans="1:12" x14ac:dyDescent="0.3">
      <c r="A64" s="1" t="s">
        <v>81</v>
      </c>
      <c r="B64">
        <v>3063</v>
      </c>
      <c r="C64" t="s">
        <v>12</v>
      </c>
      <c r="D64" t="s">
        <v>13</v>
      </c>
      <c r="E64" t="s">
        <v>14</v>
      </c>
      <c r="F64">
        <v>12</v>
      </c>
      <c r="G64">
        <v>1500</v>
      </c>
      <c r="H64">
        <v>18000</v>
      </c>
      <c r="I64" t="s">
        <v>15</v>
      </c>
      <c r="J64" t="s">
        <v>48</v>
      </c>
      <c r="K64" t="s">
        <v>17</v>
      </c>
      <c r="L64" t="str">
        <f t="shared" si="0"/>
        <v>Feb</v>
      </c>
    </row>
    <row r="65" spans="1:12" x14ac:dyDescent="0.3">
      <c r="A65" s="1" t="s">
        <v>47</v>
      </c>
      <c r="B65">
        <v>3064</v>
      </c>
      <c r="C65" t="s">
        <v>19</v>
      </c>
      <c r="D65" t="s">
        <v>13</v>
      </c>
      <c r="E65" t="s">
        <v>14</v>
      </c>
      <c r="F65">
        <v>4</v>
      </c>
      <c r="G65">
        <v>800</v>
      </c>
      <c r="H65">
        <v>3200</v>
      </c>
      <c r="I65" t="s">
        <v>32</v>
      </c>
      <c r="J65" t="s">
        <v>28</v>
      </c>
      <c r="K65" t="s">
        <v>17</v>
      </c>
      <c r="L65" t="str">
        <f t="shared" si="0"/>
        <v>Jan</v>
      </c>
    </row>
    <row r="66" spans="1:12" x14ac:dyDescent="0.3">
      <c r="A66" s="1">
        <v>46150</v>
      </c>
      <c r="B66">
        <v>3065</v>
      </c>
      <c r="C66" t="s">
        <v>34</v>
      </c>
      <c r="D66" t="s">
        <v>35</v>
      </c>
      <c r="E66" t="s">
        <v>36</v>
      </c>
      <c r="F66">
        <v>18</v>
      </c>
      <c r="G66">
        <v>7000</v>
      </c>
      <c r="H66">
        <f>F66*G66</f>
        <v>126000</v>
      </c>
      <c r="I66" t="s">
        <v>32</v>
      </c>
      <c r="J66" t="s">
        <v>16</v>
      </c>
      <c r="K66" t="s">
        <v>17</v>
      </c>
      <c r="L66" t="str">
        <f t="shared" si="0"/>
        <v>May</v>
      </c>
    </row>
    <row r="67" spans="1:12" x14ac:dyDescent="0.3">
      <c r="A67" s="1" t="s">
        <v>82</v>
      </c>
      <c r="B67">
        <v>3066</v>
      </c>
      <c r="C67" t="s">
        <v>19</v>
      </c>
      <c r="D67" t="s">
        <v>13</v>
      </c>
      <c r="E67" t="s">
        <v>14</v>
      </c>
      <c r="F67">
        <v>5</v>
      </c>
      <c r="G67">
        <v>3000</v>
      </c>
      <c r="H67">
        <v>15000</v>
      </c>
      <c r="I67" t="s">
        <v>20</v>
      </c>
      <c r="J67" t="s">
        <v>16</v>
      </c>
      <c r="K67" t="s">
        <v>26</v>
      </c>
      <c r="L67" t="str">
        <f t="shared" ref="L67:L130" si="2">TEXT(A67,"MMM")</f>
        <v>Feb</v>
      </c>
    </row>
    <row r="68" spans="1:12" x14ac:dyDescent="0.3">
      <c r="A68" s="1" t="s">
        <v>83</v>
      </c>
      <c r="B68">
        <v>3067</v>
      </c>
      <c r="C68" t="s">
        <v>30</v>
      </c>
      <c r="D68" t="s">
        <v>13</v>
      </c>
      <c r="E68" t="s">
        <v>31</v>
      </c>
      <c r="F68">
        <v>4</v>
      </c>
      <c r="G68">
        <v>1500</v>
      </c>
      <c r="H68">
        <v>6000</v>
      </c>
      <c r="I68" t="s">
        <v>38</v>
      </c>
      <c r="J68" t="s">
        <v>48</v>
      </c>
      <c r="K68" t="s">
        <v>26</v>
      </c>
      <c r="L68" t="str">
        <f t="shared" si="2"/>
        <v>Jan</v>
      </c>
    </row>
    <row r="69" spans="1:12" x14ac:dyDescent="0.3">
      <c r="A69" s="1">
        <v>46174</v>
      </c>
      <c r="B69">
        <v>3068</v>
      </c>
      <c r="C69" t="s">
        <v>23</v>
      </c>
      <c r="D69" t="s">
        <v>24</v>
      </c>
      <c r="E69" t="s">
        <v>25</v>
      </c>
      <c r="F69">
        <v>8</v>
      </c>
      <c r="G69">
        <v>5000</v>
      </c>
      <c r="H69">
        <v>40000</v>
      </c>
      <c r="I69" t="s">
        <v>32</v>
      </c>
      <c r="J69" t="s">
        <v>48</v>
      </c>
      <c r="K69" t="s">
        <v>17</v>
      </c>
      <c r="L69" t="str">
        <f t="shared" si="2"/>
        <v>Jun</v>
      </c>
    </row>
    <row r="70" spans="1:12" x14ac:dyDescent="0.3">
      <c r="A70" s="1" t="s">
        <v>49</v>
      </c>
      <c r="B70">
        <v>3069</v>
      </c>
      <c r="C70" t="s">
        <v>19</v>
      </c>
      <c r="D70" t="s">
        <v>13</v>
      </c>
      <c r="E70" t="s">
        <v>14</v>
      </c>
      <c r="F70">
        <v>8</v>
      </c>
      <c r="G70">
        <v>1500</v>
      </c>
      <c r="H70">
        <v>12000</v>
      </c>
      <c r="I70" t="s">
        <v>32</v>
      </c>
      <c r="J70" t="s">
        <v>16</v>
      </c>
      <c r="K70" t="s">
        <v>26</v>
      </c>
      <c r="L70" t="str">
        <f t="shared" si="2"/>
        <v>Jan</v>
      </c>
    </row>
    <row r="71" spans="1:12" x14ac:dyDescent="0.3">
      <c r="A71" s="1" t="s">
        <v>57</v>
      </c>
      <c r="B71">
        <v>3070</v>
      </c>
      <c r="C71" t="s">
        <v>30</v>
      </c>
      <c r="D71" t="s">
        <v>13</v>
      </c>
      <c r="E71" t="s">
        <v>31</v>
      </c>
      <c r="F71">
        <v>8</v>
      </c>
      <c r="G71">
        <v>800</v>
      </c>
      <c r="H71">
        <v>6400</v>
      </c>
      <c r="I71" t="s">
        <v>32</v>
      </c>
      <c r="J71" t="s">
        <v>28</v>
      </c>
      <c r="K71" t="s">
        <v>17</v>
      </c>
      <c r="L71" t="str">
        <f t="shared" si="2"/>
        <v>Feb</v>
      </c>
    </row>
    <row r="72" spans="1:12" x14ac:dyDescent="0.3">
      <c r="A72" s="1" t="s">
        <v>84</v>
      </c>
      <c r="B72">
        <v>3071</v>
      </c>
      <c r="C72" t="s">
        <v>12</v>
      </c>
      <c r="D72" t="s">
        <v>13</v>
      </c>
      <c r="E72" t="s">
        <v>14</v>
      </c>
      <c r="F72">
        <v>7</v>
      </c>
      <c r="G72">
        <v>2000</v>
      </c>
      <c r="H72">
        <v>14000</v>
      </c>
      <c r="I72" t="s">
        <v>38</v>
      </c>
      <c r="J72" t="s">
        <v>21</v>
      </c>
      <c r="K72" t="s">
        <v>26</v>
      </c>
      <c r="L72" t="str">
        <f t="shared" si="2"/>
        <v>Feb</v>
      </c>
    </row>
    <row r="73" spans="1:12" x14ac:dyDescent="0.3">
      <c r="A73" s="1">
        <v>46380</v>
      </c>
      <c r="B73">
        <v>3072</v>
      </c>
      <c r="C73" t="s">
        <v>40</v>
      </c>
      <c r="D73" t="s">
        <v>24</v>
      </c>
      <c r="E73" t="s">
        <v>41</v>
      </c>
      <c r="F73">
        <v>18</v>
      </c>
      <c r="G73">
        <v>3000</v>
      </c>
      <c r="H73">
        <v>54000</v>
      </c>
      <c r="I73" t="s">
        <v>15</v>
      </c>
      <c r="J73" t="s">
        <v>28</v>
      </c>
      <c r="K73" t="s">
        <v>17</v>
      </c>
      <c r="L73" t="str">
        <f t="shared" si="2"/>
        <v>Dec</v>
      </c>
    </row>
    <row r="74" spans="1:12" x14ac:dyDescent="0.3">
      <c r="A74" s="1" t="s">
        <v>49</v>
      </c>
      <c r="B74">
        <v>3073</v>
      </c>
      <c r="C74" t="s">
        <v>34</v>
      </c>
      <c r="D74" t="s">
        <v>35</v>
      </c>
      <c r="E74" t="s">
        <v>36</v>
      </c>
      <c r="F74">
        <v>2</v>
      </c>
      <c r="G74">
        <v>7000</v>
      </c>
      <c r="H74">
        <f>F74*G74</f>
        <v>14000</v>
      </c>
      <c r="I74" t="s">
        <v>20</v>
      </c>
      <c r="J74" t="s">
        <v>48</v>
      </c>
      <c r="K74" t="s">
        <v>26</v>
      </c>
      <c r="L74" t="str">
        <f t="shared" si="2"/>
        <v>Jan</v>
      </c>
    </row>
    <row r="75" spans="1:12" x14ac:dyDescent="0.3">
      <c r="A75" s="1" t="s">
        <v>85</v>
      </c>
      <c r="B75">
        <v>3074</v>
      </c>
      <c r="C75" t="s">
        <v>44</v>
      </c>
      <c r="D75" t="s">
        <v>35</v>
      </c>
      <c r="E75" t="s">
        <v>45</v>
      </c>
      <c r="F75">
        <v>19</v>
      </c>
      <c r="G75">
        <v>800</v>
      </c>
      <c r="H75">
        <v>15200</v>
      </c>
      <c r="I75" t="s">
        <v>15</v>
      </c>
      <c r="J75" t="s">
        <v>16</v>
      </c>
      <c r="K75" t="s">
        <v>17</v>
      </c>
      <c r="L75" t="str">
        <f t="shared" si="2"/>
        <v>Feb</v>
      </c>
    </row>
    <row r="76" spans="1:12" x14ac:dyDescent="0.3">
      <c r="A76" s="1" t="s">
        <v>53</v>
      </c>
      <c r="B76">
        <v>3075</v>
      </c>
      <c r="C76" t="s">
        <v>12</v>
      </c>
      <c r="D76" t="s">
        <v>13</v>
      </c>
      <c r="E76" t="s">
        <v>14</v>
      </c>
      <c r="F76">
        <v>7</v>
      </c>
      <c r="G76">
        <v>500</v>
      </c>
      <c r="H76">
        <v>3500</v>
      </c>
      <c r="I76" t="s">
        <v>38</v>
      </c>
      <c r="J76" t="s">
        <v>16</v>
      </c>
      <c r="K76" t="s">
        <v>26</v>
      </c>
      <c r="L76" t="str">
        <f t="shared" si="2"/>
        <v>Feb</v>
      </c>
    </row>
    <row r="77" spans="1:12" x14ac:dyDescent="0.3">
      <c r="A77" s="1" t="s">
        <v>51</v>
      </c>
      <c r="B77">
        <v>3076</v>
      </c>
      <c r="C77" t="s">
        <v>19</v>
      </c>
      <c r="D77" t="s">
        <v>13</v>
      </c>
      <c r="E77" t="s">
        <v>14</v>
      </c>
      <c r="F77">
        <v>5</v>
      </c>
      <c r="G77">
        <v>500</v>
      </c>
      <c r="H77">
        <v>2500</v>
      </c>
      <c r="I77" t="s">
        <v>38</v>
      </c>
      <c r="J77" t="s">
        <v>21</v>
      </c>
      <c r="K77" t="s">
        <v>17</v>
      </c>
      <c r="L77" t="str">
        <f t="shared" si="2"/>
        <v>Jan</v>
      </c>
    </row>
    <row r="78" spans="1:12" x14ac:dyDescent="0.3">
      <c r="A78" s="1" t="s">
        <v>77</v>
      </c>
      <c r="B78">
        <v>3077</v>
      </c>
      <c r="C78" t="s">
        <v>44</v>
      </c>
      <c r="D78" t="s">
        <v>35</v>
      </c>
      <c r="E78" t="s">
        <v>45</v>
      </c>
      <c r="F78">
        <v>12</v>
      </c>
      <c r="G78">
        <v>3000</v>
      </c>
      <c r="H78">
        <v>36000</v>
      </c>
      <c r="I78" t="s">
        <v>20</v>
      </c>
      <c r="J78" t="s">
        <v>28</v>
      </c>
      <c r="K78" t="s">
        <v>17</v>
      </c>
      <c r="L78" t="str">
        <f t="shared" si="2"/>
        <v>Feb</v>
      </c>
    </row>
    <row r="79" spans="1:12" x14ac:dyDescent="0.3">
      <c r="A79" s="1">
        <v>46379</v>
      </c>
      <c r="B79">
        <v>3078</v>
      </c>
      <c r="C79" t="s">
        <v>19</v>
      </c>
      <c r="D79" t="s">
        <v>13</v>
      </c>
      <c r="E79" t="s">
        <v>14</v>
      </c>
      <c r="F79">
        <v>13</v>
      </c>
      <c r="G79">
        <v>2000</v>
      </c>
      <c r="H79">
        <v>26000</v>
      </c>
      <c r="I79" t="s">
        <v>15</v>
      </c>
      <c r="J79" t="s">
        <v>48</v>
      </c>
      <c r="K79" t="s">
        <v>26</v>
      </c>
      <c r="L79" t="str">
        <f t="shared" si="2"/>
        <v>Dec</v>
      </c>
    </row>
    <row r="80" spans="1:12" x14ac:dyDescent="0.3">
      <c r="A80" s="1" t="s">
        <v>51</v>
      </c>
      <c r="B80">
        <v>3079</v>
      </c>
      <c r="C80" t="s">
        <v>12</v>
      </c>
      <c r="D80" t="s">
        <v>13</v>
      </c>
      <c r="E80" t="s">
        <v>14</v>
      </c>
      <c r="F80">
        <v>5</v>
      </c>
      <c r="G80">
        <v>2000</v>
      </c>
      <c r="H80">
        <v>10000</v>
      </c>
      <c r="I80" t="s">
        <v>15</v>
      </c>
      <c r="J80" t="s">
        <v>48</v>
      </c>
      <c r="K80" t="s">
        <v>17</v>
      </c>
      <c r="L80" t="str">
        <f t="shared" si="2"/>
        <v>Jan</v>
      </c>
    </row>
    <row r="81" spans="1:12" x14ac:dyDescent="0.3">
      <c r="A81" s="1" t="s">
        <v>42</v>
      </c>
      <c r="B81">
        <v>3080</v>
      </c>
      <c r="C81" t="s">
        <v>55</v>
      </c>
      <c r="D81" t="s">
        <v>13</v>
      </c>
      <c r="E81" t="s">
        <v>31</v>
      </c>
      <c r="F81">
        <v>12</v>
      </c>
      <c r="G81">
        <v>800</v>
      </c>
      <c r="H81">
        <v>9600</v>
      </c>
      <c r="I81" t="s">
        <v>32</v>
      </c>
      <c r="J81" t="s">
        <v>21</v>
      </c>
      <c r="K81" t="s">
        <v>26</v>
      </c>
      <c r="L81" t="str">
        <f t="shared" si="2"/>
        <v>Jan</v>
      </c>
    </row>
    <row r="82" spans="1:12" x14ac:dyDescent="0.3">
      <c r="A82" s="1" t="s">
        <v>79</v>
      </c>
      <c r="B82">
        <v>3081</v>
      </c>
      <c r="C82" t="s">
        <v>23</v>
      </c>
      <c r="D82" t="s">
        <v>24</v>
      </c>
      <c r="E82" t="s">
        <v>25</v>
      </c>
      <c r="F82">
        <v>5</v>
      </c>
      <c r="G82">
        <v>3000</v>
      </c>
      <c r="H82">
        <v>15000</v>
      </c>
      <c r="I82" t="s">
        <v>15</v>
      </c>
      <c r="J82" t="s">
        <v>48</v>
      </c>
      <c r="K82" t="s">
        <v>26</v>
      </c>
      <c r="L82" t="str">
        <f t="shared" si="2"/>
        <v>Mar</v>
      </c>
    </row>
    <row r="83" spans="1:12" x14ac:dyDescent="0.3">
      <c r="A83" s="1">
        <v>46386</v>
      </c>
      <c r="B83">
        <v>3082</v>
      </c>
      <c r="C83" t="s">
        <v>55</v>
      </c>
      <c r="D83" t="s">
        <v>13</v>
      </c>
      <c r="E83" t="s">
        <v>31</v>
      </c>
      <c r="F83">
        <v>18</v>
      </c>
      <c r="G83">
        <v>5000</v>
      </c>
      <c r="H83">
        <v>90000</v>
      </c>
      <c r="I83" t="s">
        <v>32</v>
      </c>
      <c r="J83" t="s">
        <v>21</v>
      </c>
      <c r="K83" t="s">
        <v>17</v>
      </c>
      <c r="L83" t="str">
        <f t="shared" si="2"/>
        <v>Dec</v>
      </c>
    </row>
    <row r="84" spans="1:12" x14ac:dyDescent="0.3">
      <c r="A84" s="1" t="s">
        <v>51</v>
      </c>
      <c r="B84">
        <v>3083</v>
      </c>
      <c r="C84" t="s">
        <v>44</v>
      </c>
      <c r="D84" t="s">
        <v>35</v>
      </c>
      <c r="E84" t="s">
        <v>45</v>
      </c>
      <c r="F84">
        <v>15</v>
      </c>
      <c r="G84">
        <v>2000</v>
      </c>
      <c r="H84">
        <v>30000</v>
      </c>
      <c r="I84" t="s">
        <v>32</v>
      </c>
      <c r="J84" t="s">
        <v>21</v>
      </c>
      <c r="K84" t="s">
        <v>26</v>
      </c>
      <c r="L84" t="str">
        <f t="shared" si="2"/>
        <v>Jan</v>
      </c>
    </row>
    <row r="85" spans="1:12" x14ac:dyDescent="0.3">
      <c r="A85" s="1" t="s">
        <v>69</v>
      </c>
      <c r="B85">
        <v>3084</v>
      </c>
      <c r="C85" t="s">
        <v>30</v>
      </c>
      <c r="D85" t="s">
        <v>13</v>
      </c>
      <c r="E85" t="s">
        <v>31</v>
      </c>
      <c r="F85">
        <v>7</v>
      </c>
      <c r="G85">
        <v>2000</v>
      </c>
      <c r="H85">
        <v>14000</v>
      </c>
      <c r="I85" t="s">
        <v>15</v>
      </c>
      <c r="J85" t="s">
        <v>28</v>
      </c>
      <c r="K85" t="s">
        <v>17</v>
      </c>
      <c r="L85" t="str">
        <f t="shared" si="2"/>
        <v>Jan</v>
      </c>
    </row>
    <row r="86" spans="1:12" x14ac:dyDescent="0.3">
      <c r="A86" s="1" t="s">
        <v>87</v>
      </c>
      <c r="B86">
        <v>3085</v>
      </c>
      <c r="C86" t="s">
        <v>40</v>
      </c>
      <c r="D86" t="s">
        <v>24</v>
      </c>
      <c r="E86" t="s">
        <v>41</v>
      </c>
      <c r="F86">
        <v>13</v>
      </c>
      <c r="G86">
        <v>1500</v>
      </c>
      <c r="H86">
        <v>19500</v>
      </c>
      <c r="I86" t="s">
        <v>20</v>
      </c>
      <c r="J86" t="s">
        <v>16</v>
      </c>
      <c r="K86" t="s">
        <v>17</v>
      </c>
      <c r="L86" t="str">
        <f t="shared" si="2"/>
        <v>Jan</v>
      </c>
    </row>
    <row r="87" spans="1:12" x14ac:dyDescent="0.3">
      <c r="A87" s="1">
        <v>46338</v>
      </c>
      <c r="B87">
        <v>3086</v>
      </c>
      <c r="C87" t="s">
        <v>23</v>
      </c>
      <c r="D87" t="s">
        <v>24</v>
      </c>
      <c r="E87" t="s">
        <v>25</v>
      </c>
      <c r="F87">
        <v>13</v>
      </c>
      <c r="G87">
        <v>500</v>
      </c>
      <c r="H87">
        <v>6500</v>
      </c>
      <c r="I87" t="s">
        <v>20</v>
      </c>
      <c r="J87" t="s">
        <v>16</v>
      </c>
      <c r="K87" t="s">
        <v>26</v>
      </c>
      <c r="L87" t="str">
        <f t="shared" si="2"/>
        <v>Nov</v>
      </c>
    </row>
    <row r="88" spans="1:12" x14ac:dyDescent="0.3">
      <c r="A88" s="1" t="s">
        <v>22</v>
      </c>
      <c r="B88">
        <v>3087</v>
      </c>
      <c r="C88" t="s">
        <v>44</v>
      </c>
      <c r="D88" t="s">
        <v>35</v>
      </c>
      <c r="E88" t="s">
        <v>45</v>
      </c>
      <c r="F88">
        <v>12</v>
      </c>
      <c r="G88">
        <v>500</v>
      </c>
      <c r="H88">
        <v>6000</v>
      </c>
      <c r="I88" t="s">
        <v>32</v>
      </c>
      <c r="J88" t="s">
        <v>21</v>
      </c>
      <c r="K88" t="s">
        <v>17</v>
      </c>
      <c r="L88" t="str">
        <f t="shared" si="2"/>
        <v>Feb</v>
      </c>
    </row>
    <row r="89" spans="1:12" x14ac:dyDescent="0.3">
      <c r="A89" s="1">
        <v>46346</v>
      </c>
      <c r="B89">
        <v>3088</v>
      </c>
      <c r="C89" t="s">
        <v>30</v>
      </c>
      <c r="D89" t="s">
        <v>13</v>
      </c>
      <c r="E89" t="s">
        <v>31</v>
      </c>
      <c r="F89">
        <v>3</v>
      </c>
      <c r="G89">
        <v>800</v>
      </c>
      <c r="H89">
        <v>2400</v>
      </c>
      <c r="I89" t="s">
        <v>38</v>
      </c>
      <c r="J89" t="s">
        <v>28</v>
      </c>
      <c r="K89" t="s">
        <v>17</v>
      </c>
      <c r="L89" t="str">
        <f t="shared" si="2"/>
        <v>Nov</v>
      </c>
    </row>
    <row r="90" spans="1:12" x14ac:dyDescent="0.3">
      <c r="A90" s="1">
        <v>46297</v>
      </c>
      <c r="B90">
        <v>3089</v>
      </c>
      <c r="C90" t="s">
        <v>30</v>
      </c>
      <c r="D90" t="s">
        <v>13</v>
      </c>
      <c r="E90" t="s">
        <v>31</v>
      </c>
      <c r="F90">
        <v>8</v>
      </c>
      <c r="G90">
        <v>800</v>
      </c>
      <c r="H90">
        <v>6400</v>
      </c>
      <c r="I90" t="s">
        <v>38</v>
      </c>
      <c r="J90" t="s">
        <v>28</v>
      </c>
      <c r="K90" t="s">
        <v>17</v>
      </c>
      <c r="L90" t="str">
        <f t="shared" si="2"/>
        <v>Oct</v>
      </c>
    </row>
    <row r="91" spans="1:12" x14ac:dyDescent="0.3">
      <c r="A91" s="1" t="s">
        <v>88</v>
      </c>
      <c r="B91">
        <v>3090</v>
      </c>
      <c r="C91" t="s">
        <v>55</v>
      </c>
      <c r="D91" t="s">
        <v>13</v>
      </c>
      <c r="E91" t="s">
        <v>31</v>
      </c>
      <c r="F91">
        <v>11</v>
      </c>
      <c r="G91">
        <v>1500</v>
      </c>
      <c r="H91">
        <v>16500</v>
      </c>
      <c r="I91" t="s">
        <v>20</v>
      </c>
      <c r="J91" t="s">
        <v>48</v>
      </c>
      <c r="K91" t="s">
        <v>17</v>
      </c>
      <c r="L91" t="str">
        <f t="shared" si="2"/>
        <v>Feb</v>
      </c>
    </row>
    <row r="92" spans="1:12" x14ac:dyDescent="0.3">
      <c r="A92" s="1">
        <v>46314</v>
      </c>
      <c r="B92">
        <v>3091</v>
      </c>
      <c r="C92" t="s">
        <v>55</v>
      </c>
      <c r="D92" t="s">
        <v>13</v>
      </c>
      <c r="E92" t="s">
        <v>31</v>
      </c>
      <c r="F92">
        <v>12</v>
      </c>
      <c r="G92">
        <v>5000</v>
      </c>
      <c r="H92">
        <v>60000</v>
      </c>
      <c r="I92" t="s">
        <v>38</v>
      </c>
      <c r="J92" t="s">
        <v>48</v>
      </c>
      <c r="K92" t="s">
        <v>26</v>
      </c>
      <c r="L92" t="str">
        <f t="shared" si="2"/>
        <v>Oct</v>
      </c>
    </row>
    <row r="93" spans="1:12" x14ac:dyDescent="0.3">
      <c r="A93" s="1" t="s">
        <v>89</v>
      </c>
      <c r="B93">
        <v>3092</v>
      </c>
      <c r="C93" t="s">
        <v>55</v>
      </c>
      <c r="D93" t="s">
        <v>13</v>
      </c>
      <c r="E93" t="s">
        <v>31</v>
      </c>
      <c r="F93">
        <v>20</v>
      </c>
      <c r="G93">
        <v>1500</v>
      </c>
      <c r="H93">
        <v>30000</v>
      </c>
      <c r="I93" t="s">
        <v>32</v>
      </c>
      <c r="J93" t="s">
        <v>28</v>
      </c>
      <c r="K93" t="s">
        <v>17</v>
      </c>
      <c r="L93" t="str">
        <f t="shared" si="2"/>
        <v>Jan</v>
      </c>
    </row>
    <row r="94" spans="1:12" x14ac:dyDescent="0.3">
      <c r="A94" s="1" t="s">
        <v>83</v>
      </c>
      <c r="B94">
        <v>3093</v>
      </c>
      <c r="C94" t="s">
        <v>19</v>
      </c>
      <c r="D94" t="s">
        <v>13</v>
      </c>
      <c r="E94" t="s">
        <v>14</v>
      </c>
      <c r="F94">
        <v>17</v>
      </c>
      <c r="G94">
        <v>2000</v>
      </c>
      <c r="H94">
        <v>34000</v>
      </c>
      <c r="I94" t="s">
        <v>15</v>
      </c>
      <c r="J94" t="s">
        <v>21</v>
      </c>
      <c r="K94" t="s">
        <v>17</v>
      </c>
      <c r="L94" t="str">
        <f t="shared" si="2"/>
        <v>Jan</v>
      </c>
    </row>
    <row r="95" spans="1:12" x14ac:dyDescent="0.3">
      <c r="A95" s="1" t="s">
        <v>52</v>
      </c>
      <c r="B95">
        <v>3094</v>
      </c>
      <c r="C95" t="s">
        <v>44</v>
      </c>
      <c r="D95" t="s">
        <v>35</v>
      </c>
      <c r="E95" t="s">
        <v>45</v>
      </c>
      <c r="F95">
        <v>4</v>
      </c>
      <c r="G95">
        <v>2000</v>
      </c>
      <c r="H95">
        <v>8000</v>
      </c>
      <c r="I95" t="s">
        <v>15</v>
      </c>
      <c r="J95" t="s">
        <v>16</v>
      </c>
      <c r="K95" t="s">
        <v>17</v>
      </c>
      <c r="L95" t="str">
        <f t="shared" si="2"/>
        <v>Feb</v>
      </c>
    </row>
    <row r="96" spans="1:12" x14ac:dyDescent="0.3">
      <c r="A96" s="1" t="s">
        <v>79</v>
      </c>
      <c r="B96">
        <v>3095</v>
      </c>
      <c r="C96" t="s">
        <v>40</v>
      </c>
      <c r="D96" t="s">
        <v>24</v>
      </c>
      <c r="E96" t="s">
        <v>41</v>
      </c>
      <c r="F96">
        <v>7</v>
      </c>
      <c r="G96">
        <v>5000</v>
      </c>
      <c r="H96">
        <v>35000</v>
      </c>
      <c r="I96" t="s">
        <v>38</v>
      </c>
      <c r="J96" t="s">
        <v>28</v>
      </c>
      <c r="K96" t="s">
        <v>17</v>
      </c>
      <c r="L96" t="str">
        <f t="shared" si="2"/>
        <v>Mar</v>
      </c>
    </row>
    <row r="97" spans="1:12" x14ac:dyDescent="0.3">
      <c r="A97" s="1">
        <v>46304</v>
      </c>
      <c r="B97">
        <v>3096</v>
      </c>
      <c r="C97" t="s">
        <v>19</v>
      </c>
      <c r="D97" t="s">
        <v>13</v>
      </c>
      <c r="E97" t="s">
        <v>14</v>
      </c>
      <c r="F97">
        <v>14</v>
      </c>
      <c r="G97">
        <v>3000</v>
      </c>
      <c r="H97">
        <v>42000</v>
      </c>
      <c r="I97" t="s">
        <v>20</v>
      </c>
      <c r="J97" t="s">
        <v>48</v>
      </c>
      <c r="K97" t="s">
        <v>26</v>
      </c>
      <c r="L97" t="str">
        <f t="shared" si="2"/>
        <v>Oct</v>
      </c>
    </row>
    <row r="98" spans="1:12" x14ac:dyDescent="0.3">
      <c r="A98" s="1" t="s">
        <v>72</v>
      </c>
      <c r="B98">
        <v>3097</v>
      </c>
      <c r="C98" t="s">
        <v>44</v>
      </c>
      <c r="D98" t="s">
        <v>35</v>
      </c>
      <c r="E98" t="s">
        <v>45</v>
      </c>
      <c r="F98">
        <v>3</v>
      </c>
      <c r="G98">
        <v>3000</v>
      </c>
      <c r="H98">
        <v>9000</v>
      </c>
      <c r="I98" t="s">
        <v>15</v>
      </c>
      <c r="J98" t="s">
        <v>48</v>
      </c>
      <c r="K98" t="s">
        <v>26</v>
      </c>
      <c r="L98" t="str">
        <f t="shared" si="2"/>
        <v>Jan</v>
      </c>
    </row>
    <row r="99" spans="1:12" x14ac:dyDescent="0.3">
      <c r="A99" s="1">
        <v>46342</v>
      </c>
      <c r="B99">
        <v>3098</v>
      </c>
      <c r="C99" t="s">
        <v>30</v>
      </c>
      <c r="D99" t="s">
        <v>13</v>
      </c>
      <c r="E99" t="s">
        <v>31</v>
      </c>
      <c r="F99">
        <v>2</v>
      </c>
      <c r="G99">
        <v>1500</v>
      </c>
      <c r="H99">
        <v>3000</v>
      </c>
      <c r="I99" t="s">
        <v>15</v>
      </c>
      <c r="J99" t="s">
        <v>28</v>
      </c>
      <c r="K99" t="s">
        <v>17</v>
      </c>
      <c r="L99" t="str">
        <f t="shared" si="2"/>
        <v>Nov</v>
      </c>
    </row>
    <row r="100" spans="1:12" x14ac:dyDescent="0.3">
      <c r="A100" s="1" t="s">
        <v>83</v>
      </c>
      <c r="B100">
        <v>3099</v>
      </c>
      <c r="C100" t="s">
        <v>12</v>
      </c>
      <c r="D100" t="s">
        <v>13</v>
      </c>
      <c r="E100" t="s">
        <v>14</v>
      </c>
      <c r="F100">
        <v>18</v>
      </c>
      <c r="G100">
        <v>800</v>
      </c>
      <c r="H100">
        <v>14400</v>
      </c>
      <c r="I100" t="s">
        <v>38</v>
      </c>
      <c r="J100" t="s">
        <v>48</v>
      </c>
      <c r="K100" t="s">
        <v>26</v>
      </c>
      <c r="L100" t="str">
        <f t="shared" si="2"/>
        <v>Jan</v>
      </c>
    </row>
    <row r="101" spans="1:12" x14ac:dyDescent="0.3">
      <c r="A101" s="1">
        <v>46383</v>
      </c>
      <c r="B101">
        <v>3100</v>
      </c>
      <c r="C101" t="s">
        <v>19</v>
      </c>
      <c r="D101" t="s">
        <v>13</v>
      </c>
      <c r="E101" t="s">
        <v>14</v>
      </c>
      <c r="F101">
        <v>12</v>
      </c>
      <c r="G101">
        <v>1500</v>
      </c>
      <c r="H101">
        <v>18000</v>
      </c>
      <c r="I101" t="s">
        <v>15</v>
      </c>
      <c r="J101" t="s">
        <v>21</v>
      </c>
      <c r="K101" t="s">
        <v>26</v>
      </c>
      <c r="L101" t="str">
        <f t="shared" si="2"/>
        <v>Dec</v>
      </c>
    </row>
    <row r="102" spans="1:12" x14ac:dyDescent="0.3">
      <c r="A102" s="1" t="s">
        <v>37</v>
      </c>
      <c r="B102">
        <v>3101</v>
      </c>
      <c r="C102" t="s">
        <v>34</v>
      </c>
      <c r="D102" t="s">
        <v>35</v>
      </c>
      <c r="E102" t="s">
        <v>36</v>
      </c>
      <c r="F102">
        <v>2</v>
      </c>
      <c r="G102">
        <v>8000</v>
      </c>
      <c r="H102">
        <f>F102*G102</f>
        <v>16000</v>
      </c>
      <c r="I102" t="s">
        <v>38</v>
      </c>
      <c r="J102" t="s">
        <v>16</v>
      </c>
      <c r="K102" t="s">
        <v>17</v>
      </c>
      <c r="L102" t="str">
        <f t="shared" si="2"/>
        <v>Jan</v>
      </c>
    </row>
    <row r="103" spans="1:12" x14ac:dyDescent="0.3">
      <c r="A103" s="1" t="s">
        <v>86</v>
      </c>
      <c r="B103">
        <v>3102</v>
      </c>
      <c r="C103" t="s">
        <v>44</v>
      </c>
      <c r="D103" t="s">
        <v>35</v>
      </c>
      <c r="E103" t="s">
        <v>45</v>
      </c>
      <c r="F103">
        <v>15</v>
      </c>
      <c r="G103">
        <v>3000</v>
      </c>
      <c r="H103">
        <v>45000</v>
      </c>
      <c r="I103" t="s">
        <v>20</v>
      </c>
      <c r="J103" t="s">
        <v>21</v>
      </c>
      <c r="K103" t="s">
        <v>26</v>
      </c>
      <c r="L103" t="str">
        <f t="shared" si="2"/>
        <v>Jan</v>
      </c>
    </row>
    <row r="104" spans="1:12" x14ac:dyDescent="0.3">
      <c r="A104" s="1" t="s">
        <v>76</v>
      </c>
      <c r="B104">
        <v>3103</v>
      </c>
      <c r="C104" t="s">
        <v>44</v>
      </c>
      <c r="D104" t="s">
        <v>35</v>
      </c>
      <c r="E104" t="s">
        <v>45</v>
      </c>
      <c r="F104">
        <v>17</v>
      </c>
      <c r="G104">
        <v>500</v>
      </c>
      <c r="H104">
        <v>8500</v>
      </c>
      <c r="I104" t="s">
        <v>15</v>
      </c>
      <c r="J104" t="s">
        <v>28</v>
      </c>
      <c r="K104" t="s">
        <v>26</v>
      </c>
      <c r="L104" t="str">
        <f t="shared" si="2"/>
        <v>Feb</v>
      </c>
    </row>
    <row r="105" spans="1:12" x14ac:dyDescent="0.3">
      <c r="A105" s="1" t="s">
        <v>52</v>
      </c>
      <c r="B105">
        <v>3104</v>
      </c>
      <c r="C105" t="s">
        <v>55</v>
      </c>
      <c r="D105" t="s">
        <v>13</v>
      </c>
      <c r="E105" t="s">
        <v>31</v>
      </c>
      <c r="F105">
        <v>16</v>
      </c>
      <c r="G105">
        <v>500</v>
      </c>
      <c r="H105">
        <v>8000</v>
      </c>
      <c r="I105" t="s">
        <v>20</v>
      </c>
      <c r="J105" t="s">
        <v>16</v>
      </c>
      <c r="K105" t="s">
        <v>17</v>
      </c>
      <c r="L105" t="str">
        <f t="shared" si="2"/>
        <v>Feb</v>
      </c>
    </row>
    <row r="106" spans="1:12" x14ac:dyDescent="0.3">
      <c r="A106" s="1" t="s">
        <v>77</v>
      </c>
      <c r="B106">
        <v>3105</v>
      </c>
      <c r="C106" t="s">
        <v>30</v>
      </c>
      <c r="D106" t="s">
        <v>13</v>
      </c>
      <c r="E106" t="s">
        <v>31</v>
      </c>
      <c r="F106">
        <v>4</v>
      </c>
      <c r="G106">
        <v>1500</v>
      </c>
      <c r="H106">
        <v>6000</v>
      </c>
      <c r="I106" t="s">
        <v>32</v>
      </c>
      <c r="J106" t="s">
        <v>28</v>
      </c>
      <c r="K106" t="s">
        <v>17</v>
      </c>
      <c r="L106" t="str">
        <f t="shared" si="2"/>
        <v>Feb</v>
      </c>
    </row>
    <row r="107" spans="1:12" x14ac:dyDescent="0.3">
      <c r="A107" s="1" t="s">
        <v>60</v>
      </c>
      <c r="B107">
        <v>3106</v>
      </c>
      <c r="C107" t="s">
        <v>34</v>
      </c>
      <c r="D107" t="s">
        <v>35</v>
      </c>
      <c r="E107" t="s">
        <v>36</v>
      </c>
      <c r="F107">
        <v>8</v>
      </c>
      <c r="G107">
        <v>8000</v>
      </c>
      <c r="H107">
        <f>F107*G107</f>
        <v>64000</v>
      </c>
      <c r="I107" t="s">
        <v>20</v>
      </c>
      <c r="J107" t="s">
        <v>48</v>
      </c>
      <c r="K107" t="s">
        <v>26</v>
      </c>
      <c r="L107" t="str">
        <f t="shared" si="2"/>
        <v>Feb</v>
      </c>
    </row>
    <row r="108" spans="1:12" x14ac:dyDescent="0.3">
      <c r="A108" s="1" t="s">
        <v>74</v>
      </c>
      <c r="B108">
        <v>3107</v>
      </c>
      <c r="C108" t="s">
        <v>23</v>
      </c>
      <c r="D108" t="s">
        <v>24</v>
      </c>
      <c r="E108" t="s">
        <v>25</v>
      </c>
      <c r="F108">
        <v>20</v>
      </c>
      <c r="G108">
        <v>500</v>
      </c>
      <c r="H108">
        <v>10000</v>
      </c>
      <c r="I108" t="s">
        <v>20</v>
      </c>
      <c r="J108" t="s">
        <v>28</v>
      </c>
      <c r="K108" t="s">
        <v>26</v>
      </c>
      <c r="L108" t="str">
        <f t="shared" si="2"/>
        <v>Jan</v>
      </c>
    </row>
    <row r="109" spans="1:12" x14ac:dyDescent="0.3">
      <c r="A109" s="1" t="s">
        <v>74</v>
      </c>
      <c r="B109">
        <v>3108</v>
      </c>
      <c r="C109" t="s">
        <v>44</v>
      </c>
      <c r="D109" t="s">
        <v>35</v>
      </c>
      <c r="E109" t="s">
        <v>45</v>
      </c>
      <c r="F109">
        <v>18</v>
      </c>
      <c r="G109">
        <v>800</v>
      </c>
      <c r="H109">
        <v>14400</v>
      </c>
      <c r="I109" t="s">
        <v>32</v>
      </c>
      <c r="J109" t="s">
        <v>48</v>
      </c>
      <c r="K109" t="s">
        <v>17</v>
      </c>
      <c r="L109" t="str">
        <f t="shared" si="2"/>
        <v>Jan</v>
      </c>
    </row>
    <row r="110" spans="1:12" x14ac:dyDescent="0.3">
      <c r="A110" s="1">
        <v>46370</v>
      </c>
      <c r="B110">
        <v>3109</v>
      </c>
      <c r="C110" t="s">
        <v>40</v>
      </c>
      <c r="D110" t="s">
        <v>24</v>
      </c>
      <c r="E110" t="s">
        <v>41</v>
      </c>
      <c r="F110">
        <v>9</v>
      </c>
      <c r="G110">
        <v>1500</v>
      </c>
      <c r="H110">
        <v>13500</v>
      </c>
      <c r="I110" t="s">
        <v>15</v>
      </c>
      <c r="J110" t="s">
        <v>28</v>
      </c>
      <c r="K110" t="s">
        <v>17</v>
      </c>
      <c r="L110" t="str">
        <f t="shared" si="2"/>
        <v>Dec</v>
      </c>
    </row>
    <row r="111" spans="1:12" x14ac:dyDescent="0.3">
      <c r="A111" s="1" t="s">
        <v>63</v>
      </c>
      <c r="B111">
        <v>3110</v>
      </c>
      <c r="C111" t="s">
        <v>30</v>
      </c>
      <c r="D111" t="s">
        <v>13</v>
      </c>
      <c r="E111" t="s">
        <v>31</v>
      </c>
      <c r="F111">
        <v>13</v>
      </c>
      <c r="G111">
        <v>1500</v>
      </c>
      <c r="H111">
        <v>19500</v>
      </c>
      <c r="I111" t="s">
        <v>15</v>
      </c>
      <c r="J111" t="s">
        <v>48</v>
      </c>
      <c r="K111" t="s">
        <v>26</v>
      </c>
      <c r="L111" t="str">
        <f t="shared" si="2"/>
        <v>Jan</v>
      </c>
    </row>
    <row r="112" spans="1:12" x14ac:dyDescent="0.3">
      <c r="A112" s="1" t="s">
        <v>90</v>
      </c>
      <c r="B112">
        <v>3111</v>
      </c>
      <c r="C112" t="s">
        <v>55</v>
      </c>
      <c r="D112" t="s">
        <v>13</v>
      </c>
      <c r="E112" t="s">
        <v>31</v>
      </c>
      <c r="F112">
        <v>16</v>
      </c>
      <c r="G112">
        <v>500</v>
      </c>
      <c r="H112">
        <v>8000</v>
      </c>
      <c r="I112" t="s">
        <v>20</v>
      </c>
      <c r="J112" t="s">
        <v>48</v>
      </c>
      <c r="K112" t="s">
        <v>17</v>
      </c>
      <c r="L112" t="str">
        <f t="shared" si="2"/>
        <v>Jan</v>
      </c>
    </row>
    <row r="113" spans="1:12" x14ac:dyDescent="0.3">
      <c r="A113" s="1" t="s">
        <v>22</v>
      </c>
      <c r="B113">
        <v>3112</v>
      </c>
      <c r="C113" t="s">
        <v>12</v>
      </c>
      <c r="D113" t="s">
        <v>13</v>
      </c>
      <c r="E113" t="s">
        <v>14</v>
      </c>
      <c r="F113">
        <v>18</v>
      </c>
      <c r="G113">
        <v>2000</v>
      </c>
      <c r="H113">
        <v>36000</v>
      </c>
      <c r="I113" t="s">
        <v>38</v>
      </c>
      <c r="J113" t="s">
        <v>16</v>
      </c>
      <c r="K113" t="s">
        <v>26</v>
      </c>
      <c r="L113" t="str">
        <f t="shared" si="2"/>
        <v>Feb</v>
      </c>
    </row>
    <row r="114" spans="1:12" x14ac:dyDescent="0.3">
      <c r="A114" s="1" t="s">
        <v>33</v>
      </c>
      <c r="B114">
        <v>3113</v>
      </c>
      <c r="C114" t="s">
        <v>23</v>
      </c>
      <c r="D114" t="s">
        <v>24</v>
      </c>
      <c r="E114" t="s">
        <v>25</v>
      </c>
      <c r="F114">
        <v>7</v>
      </c>
      <c r="G114">
        <v>500</v>
      </c>
      <c r="H114">
        <v>3500</v>
      </c>
      <c r="I114" t="s">
        <v>32</v>
      </c>
      <c r="J114" t="s">
        <v>48</v>
      </c>
      <c r="K114" t="s">
        <v>26</v>
      </c>
      <c r="L114" t="str">
        <f t="shared" si="2"/>
        <v>Feb</v>
      </c>
    </row>
    <row r="115" spans="1:12" x14ac:dyDescent="0.3">
      <c r="A115" s="1" t="s">
        <v>43</v>
      </c>
      <c r="B115">
        <v>3114</v>
      </c>
      <c r="C115" t="s">
        <v>19</v>
      </c>
      <c r="D115" t="s">
        <v>13</v>
      </c>
      <c r="E115" t="s">
        <v>14</v>
      </c>
      <c r="F115">
        <v>8</v>
      </c>
      <c r="G115">
        <v>3000</v>
      </c>
      <c r="H115">
        <v>24000</v>
      </c>
      <c r="I115" t="s">
        <v>32</v>
      </c>
      <c r="J115" t="s">
        <v>48</v>
      </c>
      <c r="K115" t="s">
        <v>17</v>
      </c>
      <c r="L115" t="str">
        <f t="shared" si="2"/>
        <v>Feb</v>
      </c>
    </row>
    <row r="116" spans="1:12" x14ac:dyDescent="0.3">
      <c r="A116" s="1" t="s">
        <v>81</v>
      </c>
      <c r="B116">
        <v>3115</v>
      </c>
      <c r="C116" t="s">
        <v>19</v>
      </c>
      <c r="D116" t="s">
        <v>13</v>
      </c>
      <c r="E116" t="s">
        <v>14</v>
      </c>
      <c r="F116">
        <v>10</v>
      </c>
      <c r="G116">
        <v>500</v>
      </c>
      <c r="H116">
        <v>5000</v>
      </c>
      <c r="I116" t="s">
        <v>38</v>
      </c>
      <c r="J116" t="s">
        <v>48</v>
      </c>
      <c r="K116" t="s">
        <v>26</v>
      </c>
      <c r="L116" t="str">
        <f t="shared" si="2"/>
        <v>Feb</v>
      </c>
    </row>
    <row r="117" spans="1:12" x14ac:dyDescent="0.3">
      <c r="A117" s="1">
        <v>46381</v>
      </c>
      <c r="B117">
        <v>3116</v>
      </c>
      <c r="C117" t="s">
        <v>12</v>
      </c>
      <c r="D117" t="s">
        <v>13</v>
      </c>
      <c r="E117" t="s">
        <v>14</v>
      </c>
      <c r="F117">
        <v>5</v>
      </c>
      <c r="G117">
        <v>1500</v>
      </c>
      <c r="H117">
        <v>7500</v>
      </c>
      <c r="I117" t="s">
        <v>15</v>
      </c>
      <c r="J117" t="s">
        <v>21</v>
      </c>
      <c r="K117" t="s">
        <v>17</v>
      </c>
      <c r="L117" t="str">
        <f t="shared" si="2"/>
        <v>Dec</v>
      </c>
    </row>
    <row r="118" spans="1:12" x14ac:dyDescent="0.3">
      <c r="A118" s="1" t="s">
        <v>51</v>
      </c>
      <c r="B118">
        <v>3117</v>
      </c>
      <c r="C118" t="s">
        <v>55</v>
      </c>
      <c r="D118" t="s">
        <v>13</v>
      </c>
      <c r="E118" t="s">
        <v>31</v>
      </c>
      <c r="F118">
        <v>6</v>
      </c>
      <c r="G118">
        <v>500</v>
      </c>
      <c r="H118">
        <v>3000</v>
      </c>
      <c r="I118" t="s">
        <v>20</v>
      </c>
      <c r="J118" t="s">
        <v>48</v>
      </c>
      <c r="K118" t="s">
        <v>17</v>
      </c>
      <c r="L118" t="str">
        <f t="shared" si="2"/>
        <v>Jan</v>
      </c>
    </row>
    <row r="119" spans="1:12" x14ac:dyDescent="0.3">
      <c r="A119" s="1" t="s">
        <v>27</v>
      </c>
      <c r="B119">
        <v>3118</v>
      </c>
      <c r="C119" t="s">
        <v>23</v>
      </c>
      <c r="D119" t="s">
        <v>24</v>
      </c>
      <c r="E119" t="s">
        <v>25</v>
      </c>
      <c r="F119">
        <v>7</v>
      </c>
      <c r="G119">
        <v>800</v>
      </c>
      <c r="H119">
        <v>5600</v>
      </c>
      <c r="I119" t="s">
        <v>32</v>
      </c>
      <c r="J119" t="s">
        <v>16</v>
      </c>
      <c r="K119" t="s">
        <v>17</v>
      </c>
      <c r="L119" t="str">
        <f t="shared" si="2"/>
        <v>Jan</v>
      </c>
    </row>
    <row r="120" spans="1:12" x14ac:dyDescent="0.3">
      <c r="A120" s="1" t="s">
        <v>69</v>
      </c>
      <c r="B120">
        <v>3119</v>
      </c>
      <c r="C120" t="s">
        <v>55</v>
      </c>
      <c r="D120" t="s">
        <v>13</v>
      </c>
      <c r="E120" t="s">
        <v>31</v>
      </c>
      <c r="F120">
        <v>4</v>
      </c>
      <c r="G120">
        <v>5000</v>
      </c>
      <c r="H120">
        <v>20000</v>
      </c>
      <c r="I120" t="s">
        <v>20</v>
      </c>
      <c r="J120" t="s">
        <v>48</v>
      </c>
      <c r="K120" t="s">
        <v>26</v>
      </c>
      <c r="L120" t="str">
        <f t="shared" si="2"/>
        <v>Jan</v>
      </c>
    </row>
    <row r="121" spans="1:12" x14ac:dyDescent="0.3">
      <c r="A121" s="1">
        <v>46362</v>
      </c>
      <c r="B121">
        <v>3120</v>
      </c>
      <c r="C121" t="s">
        <v>55</v>
      </c>
      <c r="D121" t="s">
        <v>13</v>
      </c>
      <c r="E121" t="s">
        <v>31</v>
      </c>
      <c r="F121">
        <v>5</v>
      </c>
      <c r="G121">
        <v>2000</v>
      </c>
      <c r="H121">
        <v>10000</v>
      </c>
      <c r="I121" t="s">
        <v>15</v>
      </c>
      <c r="J121" t="s">
        <v>16</v>
      </c>
      <c r="K121" t="s">
        <v>17</v>
      </c>
      <c r="L121" t="str">
        <f t="shared" si="2"/>
        <v>Dec</v>
      </c>
    </row>
    <row r="122" spans="1:12" x14ac:dyDescent="0.3">
      <c r="A122" s="1" t="s">
        <v>67</v>
      </c>
      <c r="B122">
        <v>3121</v>
      </c>
      <c r="C122" t="s">
        <v>40</v>
      </c>
      <c r="D122" t="s">
        <v>24</v>
      </c>
      <c r="E122" t="s">
        <v>41</v>
      </c>
      <c r="F122">
        <v>15</v>
      </c>
      <c r="G122">
        <v>1500</v>
      </c>
      <c r="H122">
        <v>22500</v>
      </c>
      <c r="I122" t="s">
        <v>15</v>
      </c>
      <c r="J122" t="s">
        <v>16</v>
      </c>
      <c r="K122" t="s">
        <v>26</v>
      </c>
      <c r="L122" t="str">
        <f t="shared" si="2"/>
        <v>Feb</v>
      </c>
    </row>
    <row r="123" spans="1:12" x14ac:dyDescent="0.3">
      <c r="A123" s="1" t="s">
        <v>88</v>
      </c>
      <c r="B123">
        <v>3122</v>
      </c>
      <c r="C123" t="s">
        <v>12</v>
      </c>
      <c r="D123" t="s">
        <v>13</v>
      </c>
      <c r="E123" t="s">
        <v>14</v>
      </c>
      <c r="F123">
        <v>17</v>
      </c>
      <c r="G123">
        <v>2000</v>
      </c>
      <c r="H123">
        <v>34000</v>
      </c>
      <c r="I123" t="s">
        <v>38</v>
      </c>
      <c r="J123" t="s">
        <v>21</v>
      </c>
      <c r="K123" t="s">
        <v>17</v>
      </c>
      <c r="L123" t="str">
        <f t="shared" si="2"/>
        <v>Feb</v>
      </c>
    </row>
    <row r="124" spans="1:12" x14ac:dyDescent="0.3">
      <c r="A124" s="1" t="s">
        <v>42</v>
      </c>
      <c r="B124">
        <v>3123</v>
      </c>
      <c r="C124" t="s">
        <v>19</v>
      </c>
      <c r="D124" t="s">
        <v>13</v>
      </c>
      <c r="E124" t="s">
        <v>14</v>
      </c>
      <c r="F124">
        <v>4</v>
      </c>
      <c r="G124">
        <v>1500</v>
      </c>
      <c r="H124">
        <v>6000</v>
      </c>
      <c r="I124" t="s">
        <v>20</v>
      </c>
      <c r="J124" t="s">
        <v>21</v>
      </c>
      <c r="K124" t="s">
        <v>26</v>
      </c>
      <c r="L124" t="str">
        <f t="shared" si="2"/>
        <v>Jan</v>
      </c>
    </row>
    <row r="125" spans="1:12" x14ac:dyDescent="0.3">
      <c r="A125" s="1">
        <v>46360</v>
      </c>
      <c r="B125">
        <v>3124</v>
      </c>
      <c r="C125" t="s">
        <v>55</v>
      </c>
      <c r="D125" t="s">
        <v>13</v>
      </c>
      <c r="E125" t="s">
        <v>31</v>
      </c>
      <c r="F125">
        <v>14</v>
      </c>
      <c r="G125">
        <v>3000</v>
      </c>
      <c r="H125">
        <v>42000</v>
      </c>
      <c r="I125" t="s">
        <v>38</v>
      </c>
      <c r="J125" t="s">
        <v>48</v>
      </c>
      <c r="K125" t="s">
        <v>26</v>
      </c>
      <c r="L125" t="str">
        <f t="shared" si="2"/>
        <v>Dec</v>
      </c>
    </row>
    <row r="126" spans="1:12" x14ac:dyDescent="0.3">
      <c r="A126" s="1" t="s">
        <v>79</v>
      </c>
      <c r="B126">
        <v>3125</v>
      </c>
      <c r="C126" t="s">
        <v>40</v>
      </c>
      <c r="D126" t="s">
        <v>24</v>
      </c>
      <c r="E126" t="s">
        <v>41</v>
      </c>
      <c r="F126">
        <v>3</v>
      </c>
      <c r="G126">
        <v>2000</v>
      </c>
      <c r="H126">
        <v>6000</v>
      </c>
      <c r="I126" t="s">
        <v>38</v>
      </c>
      <c r="J126" t="s">
        <v>16</v>
      </c>
      <c r="K126" t="s">
        <v>26</v>
      </c>
      <c r="L126" t="str">
        <f t="shared" si="2"/>
        <v>Mar</v>
      </c>
    </row>
    <row r="127" spans="1:12" x14ac:dyDescent="0.3">
      <c r="A127" s="1" t="s">
        <v>42</v>
      </c>
      <c r="B127">
        <v>3126</v>
      </c>
      <c r="C127" t="s">
        <v>19</v>
      </c>
      <c r="D127" t="s">
        <v>13</v>
      </c>
      <c r="E127" t="s">
        <v>14</v>
      </c>
      <c r="F127">
        <v>7</v>
      </c>
      <c r="G127">
        <v>800</v>
      </c>
      <c r="H127">
        <v>5600</v>
      </c>
      <c r="I127" t="s">
        <v>38</v>
      </c>
      <c r="J127" t="s">
        <v>21</v>
      </c>
      <c r="K127" t="s">
        <v>26</v>
      </c>
      <c r="L127" t="str">
        <f t="shared" si="2"/>
        <v>Jan</v>
      </c>
    </row>
    <row r="128" spans="1:12" x14ac:dyDescent="0.3">
      <c r="A128" s="1" t="s">
        <v>64</v>
      </c>
      <c r="B128">
        <v>3127</v>
      </c>
      <c r="C128" t="s">
        <v>23</v>
      </c>
      <c r="D128" t="s">
        <v>24</v>
      </c>
      <c r="E128" t="s">
        <v>25</v>
      </c>
      <c r="F128">
        <v>6</v>
      </c>
      <c r="G128">
        <v>3000</v>
      </c>
      <c r="H128">
        <v>18000</v>
      </c>
      <c r="I128" t="s">
        <v>32</v>
      </c>
      <c r="J128" t="s">
        <v>28</v>
      </c>
      <c r="K128" t="s">
        <v>26</v>
      </c>
      <c r="L128" t="str">
        <f t="shared" si="2"/>
        <v>Jan</v>
      </c>
    </row>
    <row r="129" spans="1:12" x14ac:dyDescent="0.3">
      <c r="A129" s="1" t="s">
        <v>74</v>
      </c>
      <c r="B129">
        <v>3128</v>
      </c>
      <c r="C129" t="s">
        <v>44</v>
      </c>
      <c r="D129" t="s">
        <v>35</v>
      </c>
      <c r="E129" t="s">
        <v>45</v>
      </c>
      <c r="F129">
        <v>4</v>
      </c>
      <c r="G129">
        <v>5000</v>
      </c>
      <c r="H129">
        <v>20000</v>
      </c>
      <c r="I129" t="s">
        <v>20</v>
      </c>
      <c r="J129" t="s">
        <v>28</v>
      </c>
      <c r="K129" t="s">
        <v>17</v>
      </c>
      <c r="L129" t="str">
        <f t="shared" si="2"/>
        <v>Jan</v>
      </c>
    </row>
    <row r="130" spans="1:12" x14ac:dyDescent="0.3">
      <c r="A130" s="1">
        <v>46357</v>
      </c>
      <c r="B130">
        <v>3129</v>
      </c>
      <c r="C130" t="s">
        <v>40</v>
      </c>
      <c r="D130" t="s">
        <v>24</v>
      </c>
      <c r="E130" t="s">
        <v>41</v>
      </c>
      <c r="F130">
        <v>18</v>
      </c>
      <c r="G130">
        <v>2000</v>
      </c>
      <c r="H130">
        <v>36000</v>
      </c>
      <c r="I130" t="s">
        <v>32</v>
      </c>
      <c r="J130" t="s">
        <v>28</v>
      </c>
      <c r="K130" t="s">
        <v>17</v>
      </c>
      <c r="L130" t="str">
        <f t="shared" si="2"/>
        <v>Dec</v>
      </c>
    </row>
    <row r="131" spans="1:12" x14ac:dyDescent="0.3">
      <c r="A131" s="1" t="s">
        <v>50</v>
      </c>
      <c r="B131">
        <v>3130</v>
      </c>
      <c r="C131" t="s">
        <v>19</v>
      </c>
      <c r="D131" t="s">
        <v>13</v>
      </c>
      <c r="E131" t="s">
        <v>14</v>
      </c>
      <c r="F131">
        <v>16</v>
      </c>
      <c r="G131">
        <v>500</v>
      </c>
      <c r="H131">
        <v>8000</v>
      </c>
      <c r="I131" t="s">
        <v>32</v>
      </c>
      <c r="J131" t="s">
        <v>21</v>
      </c>
      <c r="K131" t="s">
        <v>17</v>
      </c>
      <c r="L131" t="str">
        <f t="shared" ref="L131:L194" si="3">TEXT(A131,"MMM")</f>
        <v>Jan</v>
      </c>
    </row>
    <row r="132" spans="1:12" x14ac:dyDescent="0.3">
      <c r="A132" s="1" t="s">
        <v>63</v>
      </c>
      <c r="B132">
        <v>3131</v>
      </c>
      <c r="C132" t="s">
        <v>34</v>
      </c>
      <c r="D132" t="s">
        <v>35</v>
      </c>
      <c r="E132" t="s">
        <v>36</v>
      </c>
      <c r="F132">
        <v>5</v>
      </c>
      <c r="G132">
        <v>8000</v>
      </c>
      <c r="H132">
        <f t="shared" ref="H132:H133" si="4">F132*G132</f>
        <v>40000</v>
      </c>
      <c r="I132" t="s">
        <v>38</v>
      </c>
      <c r="J132" t="s">
        <v>48</v>
      </c>
      <c r="K132" t="s">
        <v>17</v>
      </c>
      <c r="L132" t="str">
        <f t="shared" si="3"/>
        <v>Jan</v>
      </c>
    </row>
    <row r="133" spans="1:12" x14ac:dyDescent="0.3">
      <c r="A133" s="1" t="s">
        <v>70</v>
      </c>
      <c r="B133">
        <v>3132</v>
      </c>
      <c r="C133" t="s">
        <v>34</v>
      </c>
      <c r="D133" t="s">
        <v>35</v>
      </c>
      <c r="E133" t="s">
        <v>36</v>
      </c>
      <c r="F133">
        <v>5</v>
      </c>
      <c r="G133">
        <v>6000</v>
      </c>
      <c r="H133">
        <f t="shared" si="4"/>
        <v>30000</v>
      </c>
      <c r="I133" t="s">
        <v>20</v>
      </c>
      <c r="J133" t="s">
        <v>28</v>
      </c>
      <c r="K133" t="s">
        <v>17</v>
      </c>
      <c r="L133" t="str">
        <f t="shared" si="3"/>
        <v>Feb</v>
      </c>
    </row>
    <row r="134" spans="1:12" x14ac:dyDescent="0.3">
      <c r="A134" s="1" t="s">
        <v>57</v>
      </c>
      <c r="B134">
        <v>3133</v>
      </c>
      <c r="C134" t="s">
        <v>44</v>
      </c>
      <c r="D134" t="s">
        <v>35</v>
      </c>
      <c r="E134" t="s">
        <v>45</v>
      </c>
      <c r="F134">
        <v>5</v>
      </c>
      <c r="G134">
        <v>2000</v>
      </c>
      <c r="H134">
        <v>10000</v>
      </c>
      <c r="I134" t="s">
        <v>38</v>
      </c>
      <c r="J134" t="s">
        <v>28</v>
      </c>
      <c r="K134" t="s">
        <v>26</v>
      </c>
      <c r="L134" t="str">
        <f t="shared" si="3"/>
        <v>Feb</v>
      </c>
    </row>
    <row r="135" spans="1:12" x14ac:dyDescent="0.3">
      <c r="A135" s="1">
        <v>46345</v>
      </c>
      <c r="B135">
        <v>3134</v>
      </c>
      <c r="C135" t="s">
        <v>34</v>
      </c>
      <c r="D135" t="s">
        <v>35</v>
      </c>
      <c r="E135" t="s">
        <v>36</v>
      </c>
      <c r="F135">
        <v>9</v>
      </c>
      <c r="G135">
        <v>6000</v>
      </c>
      <c r="H135">
        <f t="shared" ref="H135:H136" si="5">F135*G135</f>
        <v>54000</v>
      </c>
      <c r="I135" t="s">
        <v>38</v>
      </c>
      <c r="J135" t="s">
        <v>28</v>
      </c>
      <c r="K135" t="s">
        <v>17</v>
      </c>
      <c r="L135" t="str">
        <f t="shared" si="3"/>
        <v>Nov</v>
      </c>
    </row>
    <row r="136" spans="1:12" x14ac:dyDescent="0.3">
      <c r="A136" s="1" t="s">
        <v>78</v>
      </c>
      <c r="B136">
        <v>3135</v>
      </c>
      <c r="C136" t="s">
        <v>34</v>
      </c>
      <c r="D136" t="s">
        <v>35</v>
      </c>
      <c r="E136" t="s">
        <v>36</v>
      </c>
      <c r="F136">
        <v>10</v>
      </c>
      <c r="G136">
        <v>6000</v>
      </c>
      <c r="H136">
        <f t="shared" si="5"/>
        <v>60000</v>
      </c>
      <c r="I136" t="s">
        <v>20</v>
      </c>
      <c r="J136" t="s">
        <v>28</v>
      </c>
      <c r="K136" t="s">
        <v>17</v>
      </c>
      <c r="L136" t="str">
        <f t="shared" si="3"/>
        <v>Jan</v>
      </c>
    </row>
    <row r="137" spans="1:12" x14ac:dyDescent="0.3">
      <c r="A137" s="1" t="s">
        <v>54</v>
      </c>
      <c r="B137">
        <v>3136</v>
      </c>
      <c r="C137" t="s">
        <v>55</v>
      </c>
      <c r="D137" t="s">
        <v>13</v>
      </c>
      <c r="E137" t="s">
        <v>31</v>
      </c>
      <c r="F137">
        <v>9</v>
      </c>
      <c r="G137">
        <v>1500</v>
      </c>
      <c r="H137">
        <v>13500</v>
      </c>
      <c r="I137" t="s">
        <v>15</v>
      </c>
      <c r="J137" t="s">
        <v>21</v>
      </c>
      <c r="K137" t="s">
        <v>17</v>
      </c>
      <c r="L137" t="str">
        <f t="shared" si="3"/>
        <v>Feb</v>
      </c>
    </row>
    <row r="138" spans="1:12" x14ac:dyDescent="0.3">
      <c r="A138" s="1" t="s">
        <v>18</v>
      </c>
      <c r="B138">
        <v>3137</v>
      </c>
      <c r="C138" t="s">
        <v>44</v>
      </c>
      <c r="D138" t="s">
        <v>35</v>
      </c>
      <c r="E138" t="s">
        <v>45</v>
      </c>
      <c r="F138">
        <v>19</v>
      </c>
      <c r="G138">
        <v>800</v>
      </c>
      <c r="H138">
        <v>15200</v>
      </c>
      <c r="I138" t="s">
        <v>20</v>
      </c>
      <c r="J138" t="s">
        <v>16</v>
      </c>
      <c r="K138" t="s">
        <v>26</v>
      </c>
      <c r="L138" t="str">
        <f t="shared" si="3"/>
        <v>Jan</v>
      </c>
    </row>
    <row r="139" spans="1:12" x14ac:dyDescent="0.3">
      <c r="A139" s="1" t="s">
        <v>91</v>
      </c>
      <c r="B139">
        <v>3138</v>
      </c>
      <c r="C139" t="s">
        <v>30</v>
      </c>
      <c r="D139" t="s">
        <v>13</v>
      </c>
      <c r="E139" t="s">
        <v>31</v>
      </c>
      <c r="F139">
        <v>2</v>
      </c>
      <c r="G139">
        <v>800</v>
      </c>
      <c r="H139">
        <v>1600</v>
      </c>
      <c r="I139" t="s">
        <v>20</v>
      </c>
      <c r="J139" t="s">
        <v>21</v>
      </c>
      <c r="K139" t="s">
        <v>26</v>
      </c>
      <c r="L139" t="str">
        <f t="shared" si="3"/>
        <v>Feb</v>
      </c>
    </row>
    <row r="140" spans="1:12" x14ac:dyDescent="0.3">
      <c r="A140" s="1">
        <v>46345</v>
      </c>
      <c r="B140">
        <v>3139</v>
      </c>
      <c r="C140" t="s">
        <v>34</v>
      </c>
      <c r="D140" t="s">
        <v>35</v>
      </c>
      <c r="E140" t="s">
        <v>36</v>
      </c>
      <c r="F140">
        <v>14</v>
      </c>
      <c r="G140">
        <v>7000</v>
      </c>
      <c r="H140">
        <f>F140*G140</f>
        <v>98000</v>
      </c>
      <c r="I140" t="s">
        <v>38</v>
      </c>
      <c r="J140" t="s">
        <v>21</v>
      </c>
      <c r="K140" t="s">
        <v>17</v>
      </c>
      <c r="L140" t="str">
        <f t="shared" si="3"/>
        <v>Nov</v>
      </c>
    </row>
    <row r="141" spans="1:12" x14ac:dyDescent="0.3">
      <c r="A141" s="1" t="s">
        <v>63</v>
      </c>
      <c r="B141">
        <v>3140</v>
      </c>
      <c r="C141" t="s">
        <v>30</v>
      </c>
      <c r="D141" t="s">
        <v>13</v>
      </c>
      <c r="E141" t="s">
        <v>31</v>
      </c>
      <c r="F141">
        <v>11</v>
      </c>
      <c r="G141">
        <v>1500</v>
      </c>
      <c r="H141">
        <v>16500</v>
      </c>
      <c r="I141" t="s">
        <v>15</v>
      </c>
      <c r="J141" t="s">
        <v>16</v>
      </c>
      <c r="K141" t="s">
        <v>17</v>
      </c>
      <c r="L141" t="str">
        <f t="shared" si="3"/>
        <v>Jan</v>
      </c>
    </row>
    <row r="142" spans="1:12" x14ac:dyDescent="0.3">
      <c r="A142" s="1">
        <v>46349</v>
      </c>
      <c r="B142">
        <v>3141</v>
      </c>
      <c r="C142" t="s">
        <v>23</v>
      </c>
      <c r="D142" t="s">
        <v>24</v>
      </c>
      <c r="E142" t="s">
        <v>25</v>
      </c>
      <c r="F142">
        <v>10</v>
      </c>
      <c r="G142">
        <v>500</v>
      </c>
      <c r="H142">
        <v>5000</v>
      </c>
      <c r="I142" t="s">
        <v>38</v>
      </c>
      <c r="J142" t="s">
        <v>16</v>
      </c>
      <c r="K142" t="s">
        <v>26</v>
      </c>
      <c r="L142" t="str">
        <f t="shared" si="3"/>
        <v>Nov</v>
      </c>
    </row>
    <row r="143" spans="1:12" x14ac:dyDescent="0.3">
      <c r="A143" s="1" t="s">
        <v>92</v>
      </c>
      <c r="B143">
        <v>3142</v>
      </c>
      <c r="C143" t="s">
        <v>23</v>
      </c>
      <c r="D143" t="s">
        <v>24</v>
      </c>
      <c r="E143" t="s">
        <v>25</v>
      </c>
      <c r="F143">
        <v>7</v>
      </c>
      <c r="G143">
        <v>2000</v>
      </c>
      <c r="H143">
        <v>14000</v>
      </c>
      <c r="I143" t="s">
        <v>20</v>
      </c>
      <c r="J143" t="s">
        <v>28</v>
      </c>
      <c r="K143" t="s">
        <v>17</v>
      </c>
      <c r="L143" t="str">
        <f t="shared" si="3"/>
        <v>Feb</v>
      </c>
    </row>
    <row r="144" spans="1:12" x14ac:dyDescent="0.3">
      <c r="A144" s="1">
        <v>46302</v>
      </c>
      <c r="B144">
        <v>3143</v>
      </c>
      <c r="C144" t="s">
        <v>55</v>
      </c>
      <c r="D144" t="s">
        <v>13</v>
      </c>
      <c r="E144" t="s">
        <v>31</v>
      </c>
      <c r="F144">
        <v>8</v>
      </c>
      <c r="G144">
        <v>1500</v>
      </c>
      <c r="H144">
        <v>12000</v>
      </c>
      <c r="I144" t="s">
        <v>32</v>
      </c>
      <c r="J144" t="s">
        <v>16</v>
      </c>
      <c r="K144" t="s">
        <v>26</v>
      </c>
      <c r="L144" t="str">
        <f t="shared" si="3"/>
        <v>Oct</v>
      </c>
    </row>
    <row r="145" spans="1:12" x14ac:dyDescent="0.3">
      <c r="A145" s="1" t="s">
        <v>29</v>
      </c>
      <c r="B145">
        <v>3144</v>
      </c>
      <c r="C145" t="s">
        <v>40</v>
      </c>
      <c r="D145" t="s">
        <v>24</v>
      </c>
      <c r="E145" t="s">
        <v>41</v>
      </c>
      <c r="F145">
        <v>1</v>
      </c>
      <c r="G145">
        <v>1500</v>
      </c>
      <c r="H145">
        <v>1500</v>
      </c>
      <c r="I145" t="s">
        <v>38</v>
      </c>
      <c r="J145" t="s">
        <v>16</v>
      </c>
      <c r="K145" t="s">
        <v>17</v>
      </c>
      <c r="L145" t="str">
        <f t="shared" si="3"/>
        <v>Jan</v>
      </c>
    </row>
    <row r="146" spans="1:12" x14ac:dyDescent="0.3">
      <c r="A146" s="1" t="s">
        <v>43</v>
      </c>
      <c r="B146">
        <v>3145</v>
      </c>
      <c r="C146" t="s">
        <v>12</v>
      </c>
      <c r="D146" t="s">
        <v>13</v>
      </c>
      <c r="E146" t="s">
        <v>14</v>
      </c>
      <c r="F146">
        <v>5</v>
      </c>
      <c r="G146">
        <v>2000</v>
      </c>
      <c r="H146">
        <v>10000</v>
      </c>
      <c r="I146" t="s">
        <v>38</v>
      </c>
      <c r="J146" t="s">
        <v>16</v>
      </c>
      <c r="K146" t="s">
        <v>26</v>
      </c>
      <c r="L146" t="str">
        <f t="shared" si="3"/>
        <v>Feb</v>
      </c>
    </row>
    <row r="147" spans="1:12" x14ac:dyDescent="0.3">
      <c r="A147" s="1" t="s">
        <v>78</v>
      </c>
      <c r="B147">
        <v>3146</v>
      </c>
      <c r="C147" t="s">
        <v>34</v>
      </c>
      <c r="D147" t="s">
        <v>35</v>
      </c>
      <c r="E147" t="s">
        <v>36</v>
      </c>
      <c r="F147">
        <v>17</v>
      </c>
      <c r="G147">
        <v>7000</v>
      </c>
      <c r="H147">
        <f>F147*G147</f>
        <v>119000</v>
      </c>
      <c r="I147" t="s">
        <v>32</v>
      </c>
      <c r="J147" t="s">
        <v>48</v>
      </c>
      <c r="K147" t="s">
        <v>26</v>
      </c>
      <c r="L147" t="str">
        <f t="shared" si="3"/>
        <v>Jan</v>
      </c>
    </row>
    <row r="148" spans="1:12" x14ac:dyDescent="0.3">
      <c r="A148" s="1" t="s">
        <v>43</v>
      </c>
      <c r="B148">
        <v>3147</v>
      </c>
      <c r="C148" t="s">
        <v>55</v>
      </c>
      <c r="D148" t="s">
        <v>13</v>
      </c>
      <c r="E148" t="s">
        <v>31</v>
      </c>
      <c r="F148">
        <v>13</v>
      </c>
      <c r="G148">
        <v>2000</v>
      </c>
      <c r="H148">
        <v>26000</v>
      </c>
      <c r="I148" t="s">
        <v>38</v>
      </c>
      <c r="J148" t="s">
        <v>16</v>
      </c>
      <c r="K148" t="s">
        <v>26</v>
      </c>
      <c r="L148" t="str">
        <f t="shared" si="3"/>
        <v>Feb</v>
      </c>
    </row>
    <row r="149" spans="1:12" x14ac:dyDescent="0.3">
      <c r="A149" s="1" t="s">
        <v>57</v>
      </c>
      <c r="B149">
        <v>3148</v>
      </c>
      <c r="C149" t="s">
        <v>23</v>
      </c>
      <c r="D149" t="s">
        <v>24</v>
      </c>
      <c r="E149" t="s">
        <v>25</v>
      </c>
      <c r="F149">
        <v>6</v>
      </c>
      <c r="G149">
        <v>3000</v>
      </c>
      <c r="H149">
        <v>18000</v>
      </c>
      <c r="I149" t="s">
        <v>20</v>
      </c>
      <c r="J149" t="s">
        <v>28</v>
      </c>
      <c r="K149" t="s">
        <v>17</v>
      </c>
      <c r="L149" t="str">
        <f t="shared" si="3"/>
        <v>Feb</v>
      </c>
    </row>
    <row r="150" spans="1:12" x14ac:dyDescent="0.3">
      <c r="A150" s="1" t="s">
        <v>46</v>
      </c>
      <c r="B150">
        <v>3149</v>
      </c>
      <c r="C150" t="s">
        <v>30</v>
      </c>
      <c r="D150" t="s">
        <v>13</v>
      </c>
      <c r="E150" t="s">
        <v>31</v>
      </c>
      <c r="F150">
        <v>1</v>
      </c>
      <c r="G150">
        <v>1500</v>
      </c>
      <c r="H150">
        <v>1500</v>
      </c>
      <c r="I150" t="s">
        <v>15</v>
      </c>
      <c r="J150" t="s">
        <v>28</v>
      </c>
      <c r="K150" t="s">
        <v>17</v>
      </c>
      <c r="L150" t="str">
        <f t="shared" si="3"/>
        <v>Jan</v>
      </c>
    </row>
    <row r="151" spans="1:12" x14ac:dyDescent="0.3">
      <c r="A151" s="1" t="s">
        <v>58</v>
      </c>
      <c r="B151">
        <v>3150</v>
      </c>
      <c r="C151" t="s">
        <v>19</v>
      </c>
      <c r="D151" t="s">
        <v>13</v>
      </c>
      <c r="E151" t="s">
        <v>14</v>
      </c>
      <c r="F151">
        <v>14</v>
      </c>
      <c r="G151">
        <v>5000</v>
      </c>
      <c r="H151">
        <v>70000</v>
      </c>
      <c r="I151" t="s">
        <v>15</v>
      </c>
      <c r="J151" t="s">
        <v>16</v>
      </c>
      <c r="K151" t="s">
        <v>26</v>
      </c>
      <c r="L151" t="str">
        <f t="shared" si="3"/>
        <v>Feb</v>
      </c>
    </row>
    <row r="152" spans="1:12" x14ac:dyDescent="0.3">
      <c r="A152" s="1" t="s">
        <v>42</v>
      </c>
      <c r="B152">
        <v>3151</v>
      </c>
      <c r="C152" t="s">
        <v>30</v>
      </c>
      <c r="D152" t="s">
        <v>13</v>
      </c>
      <c r="E152" t="s">
        <v>31</v>
      </c>
      <c r="F152">
        <v>8</v>
      </c>
      <c r="G152">
        <v>500</v>
      </c>
      <c r="H152">
        <v>4000</v>
      </c>
      <c r="I152" t="s">
        <v>15</v>
      </c>
      <c r="J152" t="s">
        <v>28</v>
      </c>
      <c r="K152" t="s">
        <v>26</v>
      </c>
      <c r="L152" t="str">
        <f t="shared" si="3"/>
        <v>Jan</v>
      </c>
    </row>
    <row r="153" spans="1:12" x14ac:dyDescent="0.3">
      <c r="A153" s="1" t="s">
        <v>85</v>
      </c>
      <c r="B153">
        <v>3152</v>
      </c>
      <c r="C153" t="s">
        <v>23</v>
      </c>
      <c r="D153" t="s">
        <v>24</v>
      </c>
      <c r="E153" t="s">
        <v>25</v>
      </c>
      <c r="F153">
        <v>5</v>
      </c>
      <c r="G153">
        <v>500</v>
      </c>
      <c r="H153">
        <v>2500</v>
      </c>
      <c r="I153" t="s">
        <v>20</v>
      </c>
      <c r="J153" t="s">
        <v>21</v>
      </c>
      <c r="K153" t="s">
        <v>17</v>
      </c>
      <c r="L153" t="str">
        <f t="shared" si="3"/>
        <v>Feb</v>
      </c>
    </row>
    <row r="154" spans="1:12" x14ac:dyDescent="0.3">
      <c r="A154" s="1" t="s">
        <v>75</v>
      </c>
      <c r="B154">
        <v>3153</v>
      </c>
      <c r="C154" t="s">
        <v>55</v>
      </c>
      <c r="D154" t="s">
        <v>13</v>
      </c>
      <c r="E154" t="s">
        <v>31</v>
      </c>
      <c r="F154">
        <v>2</v>
      </c>
      <c r="G154">
        <v>1500</v>
      </c>
      <c r="H154">
        <v>3000</v>
      </c>
      <c r="I154" t="s">
        <v>32</v>
      </c>
      <c r="J154" t="s">
        <v>16</v>
      </c>
      <c r="K154" t="s">
        <v>26</v>
      </c>
      <c r="L154" t="str">
        <f t="shared" si="3"/>
        <v>Jan</v>
      </c>
    </row>
    <row r="155" spans="1:12" x14ac:dyDescent="0.3">
      <c r="A155" s="1" t="s">
        <v>93</v>
      </c>
      <c r="B155">
        <v>3154</v>
      </c>
      <c r="C155" t="s">
        <v>44</v>
      </c>
      <c r="D155" t="s">
        <v>35</v>
      </c>
      <c r="E155" t="s">
        <v>45</v>
      </c>
      <c r="F155">
        <v>6</v>
      </c>
      <c r="G155">
        <v>2000</v>
      </c>
      <c r="H155">
        <v>12000</v>
      </c>
      <c r="I155" t="s">
        <v>32</v>
      </c>
      <c r="J155" t="s">
        <v>28</v>
      </c>
      <c r="K155" t="s">
        <v>26</v>
      </c>
      <c r="L155" t="str">
        <f t="shared" si="3"/>
        <v>Feb</v>
      </c>
    </row>
    <row r="156" spans="1:12" x14ac:dyDescent="0.3">
      <c r="A156" s="1" t="s">
        <v>94</v>
      </c>
      <c r="B156">
        <v>3155</v>
      </c>
      <c r="C156" t="s">
        <v>12</v>
      </c>
      <c r="D156" t="s">
        <v>13</v>
      </c>
      <c r="E156" t="s">
        <v>14</v>
      </c>
      <c r="F156">
        <v>14</v>
      </c>
      <c r="G156">
        <v>3000</v>
      </c>
      <c r="H156">
        <v>42000</v>
      </c>
      <c r="I156" t="s">
        <v>32</v>
      </c>
      <c r="J156" t="s">
        <v>48</v>
      </c>
      <c r="K156" t="s">
        <v>17</v>
      </c>
      <c r="L156" t="str">
        <f t="shared" si="3"/>
        <v>Feb</v>
      </c>
    </row>
    <row r="157" spans="1:12" x14ac:dyDescent="0.3">
      <c r="A157" s="1" t="s">
        <v>72</v>
      </c>
      <c r="B157">
        <v>3156</v>
      </c>
      <c r="C157" t="s">
        <v>23</v>
      </c>
      <c r="D157" t="s">
        <v>24</v>
      </c>
      <c r="E157" t="s">
        <v>25</v>
      </c>
      <c r="F157">
        <v>18</v>
      </c>
      <c r="G157">
        <v>500</v>
      </c>
      <c r="H157">
        <v>9000</v>
      </c>
      <c r="I157" t="s">
        <v>20</v>
      </c>
      <c r="J157" t="s">
        <v>48</v>
      </c>
      <c r="K157" t="s">
        <v>17</v>
      </c>
      <c r="L157" t="str">
        <f t="shared" si="3"/>
        <v>Jan</v>
      </c>
    </row>
    <row r="158" spans="1:12" x14ac:dyDescent="0.3">
      <c r="A158" s="1" t="s">
        <v>37</v>
      </c>
      <c r="B158">
        <v>3157</v>
      </c>
      <c r="C158" t="s">
        <v>30</v>
      </c>
      <c r="D158" t="s">
        <v>13</v>
      </c>
      <c r="E158" t="s">
        <v>31</v>
      </c>
      <c r="F158">
        <v>20</v>
      </c>
      <c r="G158">
        <v>800</v>
      </c>
      <c r="H158">
        <v>16000</v>
      </c>
      <c r="I158" t="s">
        <v>38</v>
      </c>
      <c r="J158" t="s">
        <v>21</v>
      </c>
      <c r="K158" t="s">
        <v>17</v>
      </c>
      <c r="L158" t="str">
        <f t="shared" si="3"/>
        <v>Jan</v>
      </c>
    </row>
    <row r="159" spans="1:12" x14ac:dyDescent="0.3">
      <c r="A159" s="1" t="s">
        <v>11</v>
      </c>
      <c r="B159">
        <v>3158</v>
      </c>
      <c r="C159" t="s">
        <v>12</v>
      </c>
      <c r="D159" t="s">
        <v>13</v>
      </c>
      <c r="E159" t="s">
        <v>14</v>
      </c>
      <c r="F159">
        <v>13</v>
      </c>
      <c r="G159">
        <v>5000</v>
      </c>
      <c r="H159">
        <v>65000</v>
      </c>
      <c r="I159" t="s">
        <v>15</v>
      </c>
      <c r="J159" t="s">
        <v>48</v>
      </c>
      <c r="K159" t="s">
        <v>17</v>
      </c>
      <c r="L159" t="str">
        <f t="shared" si="3"/>
        <v>Feb</v>
      </c>
    </row>
    <row r="160" spans="1:12" x14ac:dyDescent="0.3">
      <c r="A160" s="1" t="s">
        <v>75</v>
      </c>
      <c r="B160">
        <v>3159</v>
      </c>
      <c r="C160" t="s">
        <v>40</v>
      </c>
      <c r="D160" t="s">
        <v>24</v>
      </c>
      <c r="E160" t="s">
        <v>41</v>
      </c>
      <c r="F160">
        <v>1</v>
      </c>
      <c r="G160">
        <v>2000</v>
      </c>
      <c r="H160">
        <v>2000</v>
      </c>
      <c r="I160" t="s">
        <v>15</v>
      </c>
      <c r="J160" t="s">
        <v>28</v>
      </c>
      <c r="K160" t="s">
        <v>26</v>
      </c>
      <c r="L160" t="str">
        <f t="shared" si="3"/>
        <v>Jan</v>
      </c>
    </row>
    <row r="161" spans="1:12" x14ac:dyDescent="0.3">
      <c r="A161" s="1" t="s">
        <v>79</v>
      </c>
      <c r="B161">
        <v>3160</v>
      </c>
      <c r="C161" t="s">
        <v>12</v>
      </c>
      <c r="D161" t="s">
        <v>13</v>
      </c>
      <c r="E161" t="s">
        <v>14</v>
      </c>
      <c r="F161">
        <v>8</v>
      </c>
      <c r="G161">
        <v>800</v>
      </c>
      <c r="H161">
        <v>6400</v>
      </c>
      <c r="I161" t="s">
        <v>32</v>
      </c>
      <c r="J161" t="s">
        <v>21</v>
      </c>
      <c r="K161" t="s">
        <v>17</v>
      </c>
      <c r="L161" t="str">
        <f t="shared" si="3"/>
        <v>Mar</v>
      </c>
    </row>
    <row r="162" spans="1:12" x14ac:dyDescent="0.3">
      <c r="A162" s="1" t="s">
        <v>71</v>
      </c>
      <c r="B162">
        <v>3161</v>
      </c>
      <c r="C162" t="s">
        <v>55</v>
      </c>
      <c r="D162" t="s">
        <v>13</v>
      </c>
      <c r="E162" t="s">
        <v>31</v>
      </c>
      <c r="F162">
        <v>14</v>
      </c>
      <c r="G162">
        <v>500</v>
      </c>
      <c r="H162">
        <v>7000</v>
      </c>
      <c r="I162" t="s">
        <v>15</v>
      </c>
      <c r="J162" t="s">
        <v>21</v>
      </c>
      <c r="K162" t="s">
        <v>26</v>
      </c>
      <c r="L162" t="str">
        <f t="shared" si="3"/>
        <v>Jan</v>
      </c>
    </row>
    <row r="163" spans="1:12" x14ac:dyDescent="0.3">
      <c r="A163" s="1" t="s">
        <v>63</v>
      </c>
      <c r="B163">
        <v>3162</v>
      </c>
      <c r="C163" t="s">
        <v>12</v>
      </c>
      <c r="D163" t="s">
        <v>13</v>
      </c>
      <c r="E163" t="s">
        <v>14</v>
      </c>
      <c r="F163">
        <v>17</v>
      </c>
      <c r="G163">
        <v>500</v>
      </c>
      <c r="H163">
        <v>8500</v>
      </c>
      <c r="I163" t="s">
        <v>32</v>
      </c>
      <c r="J163" t="s">
        <v>28</v>
      </c>
      <c r="K163" t="s">
        <v>26</v>
      </c>
      <c r="L163" t="str">
        <f t="shared" si="3"/>
        <v>Jan</v>
      </c>
    </row>
    <row r="164" spans="1:12" x14ac:dyDescent="0.3">
      <c r="A164" s="1" t="s">
        <v>74</v>
      </c>
      <c r="B164">
        <v>3163</v>
      </c>
      <c r="C164" t="s">
        <v>34</v>
      </c>
      <c r="D164" t="s">
        <v>35</v>
      </c>
      <c r="E164" t="s">
        <v>36</v>
      </c>
      <c r="F164">
        <v>7</v>
      </c>
      <c r="G164">
        <v>8000</v>
      </c>
      <c r="H164">
        <f>F164*G164</f>
        <v>56000</v>
      </c>
      <c r="I164" t="s">
        <v>15</v>
      </c>
      <c r="J164" t="s">
        <v>48</v>
      </c>
      <c r="K164" t="s">
        <v>17</v>
      </c>
      <c r="L164" t="str">
        <f t="shared" si="3"/>
        <v>Jan</v>
      </c>
    </row>
    <row r="165" spans="1:12" x14ac:dyDescent="0.3">
      <c r="A165" s="1" t="s">
        <v>61</v>
      </c>
      <c r="B165">
        <v>3164</v>
      </c>
      <c r="C165" t="s">
        <v>40</v>
      </c>
      <c r="D165" t="s">
        <v>24</v>
      </c>
      <c r="E165" t="s">
        <v>41</v>
      </c>
      <c r="F165">
        <v>15</v>
      </c>
      <c r="G165">
        <v>5000</v>
      </c>
      <c r="H165">
        <v>75000</v>
      </c>
      <c r="I165" t="s">
        <v>38</v>
      </c>
      <c r="J165" t="s">
        <v>16</v>
      </c>
      <c r="K165" t="s">
        <v>26</v>
      </c>
      <c r="L165" t="str">
        <f t="shared" si="3"/>
        <v>Mar</v>
      </c>
    </row>
    <row r="166" spans="1:12" x14ac:dyDescent="0.3">
      <c r="A166" s="1" t="s">
        <v>53</v>
      </c>
      <c r="B166">
        <v>3165</v>
      </c>
      <c r="C166" t="s">
        <v>19</v>
      </c>
      <c r="D166" t="s">
        <v>13</v>
      </c>
      <c r="E166" t="s">
        <v>14</v>
      </c>
      <c r="F166">
        <v>8</v>
      </c>
      <c r="G166">
        <v>2000</v>
      </c>
      <c r="H166">
        <v>16000</v>
      </c>
      <c r="I166" t="s">
        <v>20</v>
      </c>
      <c r="J166" t="s">
        <v>28</v>
      </c>
      <c r="K166" t="s">
        <v>17</v>
      </c>
      <c r="L166" t="str">
        <f t="shared" si="3"/>
        <v>Feb</v>
      </c>
    </row>
    <row r="167" spans="1:12" x14ac:dyDescent="0.3">
      <c r="A167" s="1" t="s">
        <v>39</v>
      </c>
      <c r="B167">
        <v>3166</v>
      </c>
      <c r="C167" t="s">
        <v>44</v>
      </c>
      <c r="D167" t="s">
        <v>35</v>
      </c>
      <c r="E167" t="s">
        <v>45</v>
      </c>
      <c r="F167">
        <v>3</v>
      </c>
      <c r="G167">
        <v>3000</v>
      </c>
      <c r="H167">
        <v>9000</v>
      </c>
      <c r="I167" t="s">
        <v>38</v>
      </c>
      <c r="J167" t="s">
        <v>21</v>
      </c>
      <c r="K167" t="s">
        <v>17</v>
      </c>
      <c r="L167" t="str">
        <f t="shared" si="3"/>
        <v>Jan</v>
      </c>
    </row>
    <row r="168" spans="1:12" x14ac:dyDescent="0.3">
      <c r="A168" s="1" t="s">
        <v>65</v>
      </c>
      <c r="B168">
        <v>3167</v>
      </c>
      <c r="C168" t="s">
        <v>44</v>
      </c>
      <c r="D168" t="s">
        <v>35</v>
      </c>
      <c r="E168" t="s">
        <v>45</v>
      </c>
      <c r="F168">
        <v>6</v>
      </c>
      <c r="G168">
        <v>800</v>
      </c>
      <c r="H168">
        <v>4800</v>
      </c>
      <c r="I168" t="s">
        <v>32</v>
      </c>
      <c r="J168" t="s">
        <v>16</v>
      </c>
      <c r="K168" t="s">
        <v>26</v>
      </c>
      <c r="L168" t="str">
        <f t="shared" si="3"/>
        <v>Jan</v>
      </c>
    </row>
    <row r="169" spans="1:12" x14ac:dyDescent="0.3">
      <c r="A169" s="1" t="s">
        <v>46</v>
      </c>
      <c r="B169">
        <v>3168</v>
      </c>
      <c r="C169" t="s">
        <v>23</v>
      </c>
      <c r="D169" t="s">
        <v>24</v>
      </c>
      <c r="E169" t="s">
        <v>25</v>
      </c>
      <c r="F169">
        <v>13</v>
      </c>
      <c r="G169">
        <v>5000</v>
      </c>
      <c r="H169">
        <v>65000</v>
      </c>
      <c r="I169" t="s">
        <v>20</v>
      </c>
      <c r="J169" t="s">
        <v>28</v>
      </c>
      <c r="K169" t="s">
        <v>26</v>
      </c>
      <c r="L169" t="str">
        <f t="shared" si="3"/>
        <v>Jan</v>
      </c>
    </row>
    <row r="170" spans="1:12" x14ac:dyDescent="0.3">
      <c r="A170" s="1" t="s">
        <v>43</v>
      </c>
      <c r="B170">
        <v>3169</v>
      </c>
      <c r="C170" t="s">
        <v>30</v>
      </c>
      <c r="D170" t="s">
        <v>13</v>
      </c>
      <c r="E170" t="s">
        <v>31</v>
      </c>
      <c r="F170">
        <v>3</v>
      </c>
      <c r="G170">
        <v>1500</v>
      </c>
      <c r="H170">
        <v>4500</v>
      </c>
      <c r="I170" t="s">
        <v>32</v>
      </c>
      <c r="J170" t="s">
        <v>48</v>
      </c>
      <c r="K170" t="s">
        <v>26</v>
      </c>
      <c r="L170" t="str">
        <f t="shared" si="3"/>
        <v>Feb</v>
      </c>
    </row>
    <row r="171" spans="1:12" x14ac:dyDescent="0.3">
      <c r="A171" s="1" t="s">
        <v>83</v>
      </c>
      <c r="B171">
        <v>3170</v>
      </c>
      <c r="C171" t="s">
        <v>55</v>
      </c>
      <c r="D171" t="s">
        <v>13</v>
      </c>
      <c r="E171" t="s">
        <v>31</v>
      </c>
      <c r="F171">
        <v>1</v>
      </c>
      <c r="G171">
        <v>800</v>
      </c>
      <c r="H171">
        <v>800</v>
      </c>
      <c r="I171" t="s">
        <v>38</v>
      </c>
      <c r="J171" t="s">
        <v>16</v>
      </c>
      <c r="K171" t="s">
        <v>26</v>
      </c>
      <c r="L171" t="str">
        <f t="shared" si="3"/>
        <v>Jan</v>
      </c>
    </row>
    <row r="172" spans="1:12" x14ac:dyDescent="0.3">
      <c r="A172" s="1" t="s">
        <v>33</v>
      </c>
      <c r="B172">
        <v>3171</v>
      </c>
      <c r="C172" t="s">
        <v>19</v>
      </c>
      <c r="D172" t="s">
        <v>13</v>
      </c>
      <c r="E172" t="s">
        <v>14</v>
      </c>
      <c r="F172">
        <v>6</v>
      </c>
      <c r="G172">
        <v>800</v>
      </c>
      <c r="H172">
        <v>4800</v>
      </c>
      <c r="I172" t="s">
        <v>38</v>
      </c>
      <c r="J172" t="s">
        <v>16</v>
      </c>
      <c r="K172" t="s">
        <v>26</v>
      </c>
      <c r="L172" t="str">
        <f t="shared" si="3"/>
        <v>Feb</v>
      </c>
    </row>
    <row r="173" spans="1:12" x14ac:dyDescent="0.3">
      <c r="A173" s="1">
        <v>46307</v>
      </c>
      <c r="B173">
        <v>3172</v>
      </c>
      <c r="C173" t="s">
        <v>40</v>
      </c>
      <c r="D173" t="s">
        <v>24</v>
      </c>
      <c r="E173" t="s">
        <v>41</v>
      </c>
      <c r="F173">
        <v>19</v>
      </c>
      <c r="G173">
        <v>1500</v>
      </c>
      <c r="H173">
        <v>28500</v>
      </c>
      <c r="I173" t="s">
        <v>15</v>
      </c>
      <c r="J173" t="s">
        <v>28</v>
      </c>
      <c r="K173" t="s">
        <v>26</v>
      </c>
      <c r="L173" t="str">
        <f t="shared" si="3"/>
        <v>Oct</v>
      </c>
    </row>
    <row r="174" spans="1:12" x14ac:dyDescent="0.3">
      <c r="A174" s="1" t="s">
        <v>80</v>
      </c>
      <c r="B174">
        <v>3173</v>
      </c>
      <c r="C174" t="s">
        <v>12</v>
      </c>
      <c r="D174" t="s">
        <v>13</v>
      </c>
      <c r="E174" t="s">
        <v>14</v>
      </c>
      <c r="F174">
        <v>20</v>
      </c>
      <c r="G174">
        <v>1500</v>
      </c>
      <c r="H174">
        <v>30000</v>
      </c>
      <c r="I174" t="s">
        <v>20</v>
      </c>
      <c r="J174" t="s">
        <v>28</v>
      </c>
      <c r="K174" t="s">
        <v>17</v>
      </c>
      <c r="L174" t="str">
        <f t="shared" si="3"/>
        <v>Feb</v>
      </c>
    </row>
    <row r="175" spans="1:12" x14ac:dyDescent="0.3">
      <c r="A175" s="1" t="s">
        <v>11</v>
      </c>
      <c r="B175">
        <v>3174</v>
      </c>
      <c r="C175" t="s">
        <v>23</v>
      </c>
      <c r="D175" t="s">
        <v>24</v>
      </c>
      <c r="E175" t="s">
        <v>25</v>
      </c>
      <c r="F175">
        <v>13</v>
      </c>
      <c r="G175">
        <v>800</v>
      </c>
      <c r="H175">
        <v>10400</v>
      </c>
      <c r="I175" t="s">
        <v>15</v>
      </c>
      <c r="J175" t="s">
        <v>16</v>
      </c>
      <c r="K175" t="s">
        <v>17</v>
      </c>
      <c r="L175" t="str">
        <f t="shared" si="3"/>
        <v>Feb</v>
      </c>
    </row>
    <row r="176" spans="1:12" x14ac:dyDescent="0.3">
      <c r="A176" s="1" t="s">
        <v>71</v>
      </c>
      <c r="B176">
        <v>3175</v>
      </c>
      <c r="C176" t="s">
        <v>55</v>
      </c>
      <c r="D176" t="s">
        <v>13</v>
      </c>
      <c r="E176" t="s">
        <v>31</v>
      </c>
      <c r="F176">
        <v>6</v>
      </c>
      <c r="G176">
        <v>500</v>
      </c>
      <c r="H176">
        <v>3000</v>
      </c>
      <c r="I176" t="s">
        <v>32</v>
      </c>
      <c r="J176" t="s">
        <v>16</v>
      </c>
      <c r="K176" t="s">
        <v>17</v>
      </c>
      <c r="L176" t="str">
        <f t="shared" si="3"/>
        <v>Jan</v>
      </c>
    </row>
    <row r="177" spans="1:12" x14ac:dyDescent="0.3">
      <c r="A177" s="1">
        <v>46121</v>
      </c>
      <c r="B177">
        <v>3176</v>
      </c>
      <c r="C177" t="s">
        <v>19</v>
      </c>
      <c r="D177" t="s">
        <v>13</v>
      </c>
      <c r="E177" t="s">
        <v>14</v>
      </c>
      <c r="F177">
        <v>20</v>
      </c>
      <c r="G177">
        <v>5000</v>
      </c>
      <c r="H177">
        <v>100000</v>
      </c>
      <c r="I177" t="s">
        <v>32</v>
      </c>
      <c r="J177" t="s">
        <v>48</v>
      </c>
      <c r="K177" t="s">
        <v>26</v>
      </c>
      <c r="L177" t="str">
        <f t="shared" si="3"/>
        <v>Apr</v>
      </c>
    </row>
    <row r="178" spans="1:12" x14ac:dyDescent="0.3">
      <c r="A178" s="1" t="s">
        <v>42</v>
      </c>
      <c r="B178">
        <v>3177</v>
      </c>
      <c r="C178" t="s">
        <v>30</v>
      </c>
      <c r="D178" t="s">
        <v>13</v>
      </c>
      <c r="E178" t="s">
        <v>31</v>
      </c>
      <c r="F178">
        <v>12</v>
      </c>
      <c r="G178">
        <v>500</v>
      </c>
      <c r="H178">
        <v>6000</v>
      </c>
      <c r="I178" t="s">
        <v>20</v>
      </c>
      <c r="J178" t="s">
        <v>16</v>
      </c>
      <c r="K178" t="s">
        <v>17</v>
      </c>
      <c r="L178" t="str">
        <f t="shared" si="3"/>
        <v>Jan</v>
      </c>
    </row>
    <row r="179" spans="1:12" x14ac:dyDescent="0.3">
      <c r="A179" s="1" t="s">
        <v>43</v>
      </c>
      <c r="B179">
        <v>3178</v>
      </c>
      <c r="C179" t="s">
        <v>40</v>
      </c>
      <c r="D179" t="s">
        <v>24</v>
      </c>
      <c r="E179" t="s">
        <v>41</v>
      </c>
      <c r="F179">
        <v>8</v>
      </c>
      <c r="G179">
        <v>800</v>
      </c>
      <c r="H179">
        <v>6400</v>
      </c>
      <c r="I179" t="s">
        <v>15</v>
      </c>
      <c r="J179" t="s">
        <v>28</v>
      </c>
      <c r="K179" t="s">
        <v>26</v>
      </c>
      <c r="L179" t="str">
        <f t="shared" si="3"/>
        <v>Feb</v>
      </c>
    </row>
    <row r="180" spans="1:12" x14ac:dyDescent="0.3">
      <c r="A180" s="1" t="s">
        <v>73</v>
      </c>
      <c r="B180">
        <v>3179</v>
      </c>
      <c r="C180" t="s">
        <v>19</v>
      </c>
      <c r="D180" t="s">
        <v>13</v>
      </c>
      <c r="E180" t="s">
        <v>14</v>
      </c>
      <c r="F180">
        <v>19</v>
      </c>
      <c r="G180">
        <v>5000</v>
      </c>
      <c r="H180">
        <v>95000</v>
      </c>
      <c r="I180" t="s">
        <v>32</v>
      </c>
      <c r="J180" t="s">
        <v>48</v>
      </c>
      <c r="K180" t="s">
        <v>26</v>
      </c>
      <c r="L180" t="str">
        <f t="shared" si="3"/>
        <v>Jan</v>
      </c>
    </row>
    <row r="181" spans="1:12" x14ac:dyDescent="0.3">
      <c r="A181" s="1">
        <v>46241</v>
      </c>
      <c r="B181">
        <v>3180</v>
      </c>
      <c r="C181" t="s">
        <v>44</v>
      </c>
      <c r="D181" t="s">
        <v>35</v>
      </c>
      <c r="E181" t="s">
        <v>45</v>
      </c>
      <c r="F181">
        <v>9</v>
      </c>
      <c r="G181">
        <v>1500</v>
      </c>
      <c r="H181">
        <v>13500</v>
      </c>
      <c r="I181" t="s">
        <v>32</v>
      </c>
      <c r="J181" t="s">
        <v>16</v>
      </c>
      <c r="K181" t="s">
        <v>26</v>
      </c>
      <c r="L181" t="str">
        <f t="shared" si="3"/>
        <v>Aug</v>
      </c>
    </row>
    <row r="182" spans="1:12" x14ac:dyDescent="0.3">
      <c r="A182" s="1" t="s">
        <v>46</v>
      </c>
      <c r="B182">
        <v>3181</v>
      </c>
      <c r="C182" t="s">
        <v>55</v>
      </c>
      <c r="D182" t="s">
        <v>13</v>
      </c>
      <c r="E182" t="s">
        <v>31</v>
      </c>
      <c r="F182">
        <v>6</v>
      </c>
      <c r="G182">
        <v>800</v>
      </c>
      <c r="H182">
        <v>4800</v>
      </c>
      <c r="I182" t="s">
        <v>38</v>
      </c>
      <c r="J182" t="s">
        <v>16</v>
      </c>
      <c r="K182" t="s">
        <v>17</v>
      </c>
      <c r="L182" t="str">
        <f t="shared" si="3"/>
        <v>Jan</v>
      </c>
    </row>
    <row r="183" spans="1:12" x14ac:dyDescent="0.3">
      <c r="A183" s="1">
        <v>46246</v>
      </c>
      <c r="B183">
        <v>3182</v>
      </c>
      <c r="C183" t="s">
        <v>40</v>
      </c>
      <c r="D183" t="s">
        <v>24</v>
      </c>
      <c r="E183" t="s">
        <v>41</v>
      </c>
      <c r="F183">
        <v>2</v>
      </c>
      <c r="G183">
        <v>5000</v>
      </c>
      <c r="H183">
        <v>10000</v>
      </c>
      <c r="I183" t="s">
        <v>20</v>
      </c>
      <c r="J183" t="s">
        <v>21</v>
      </c>
      <c r="K183" t="s">
        <v>17</v>
      </c>
      <c r="L183" t="str">
        <f t="shared" si="3"/>
        <v>Aug</v>
      </c>
    </row>
    <row r="184" spans="1:12" x14ac:dyDescent="0.3">
      <c r="A184" s="1" t="s">
        <v>77</v>
      </c>
      <c r="B184">
        <v>3183</v>
      </c>
      <c r="C184" t="s">
        <v>34</v>
      </c>
      <c r="D184" t="s">
        <v>35</v>
      </c>
      <c r="E184" t="s">
        <v>36</v>
      </c>
      <c r="F184">
        <v>2</v>
      </c>
      <c r="G184">
        <v>6000</v>
      </c>
      <c r="H184">
        <f>F184*G184</f>
        <v>12000</v>
      </c>
      <c r="I184" t="s">
        <v>20</v>
      </c>
      <c r="J184" t="s">
        <v>28</v>
      </c>
      <c r="K184" t="s">
        <v>17</v>
      </c>
      <c r="L184" t="str">
        <f t="shared" si="3"/>
        <v>Feb</v>
      </c>
    </row>
    <row r="185" spans="1:12" x14ac:dyDescent="0.3">
      <c r="A185" s="1" t="s">
        <v>42</v>
      </c>
      <c r="B185">
        <v>3184</v>
      </c>
      <c r="C185" t="s">
        <v>40</v>
      </c>
      <c r="D185" t="s">
        <v>24</v>
      </c>
      <c r="E185" t="s">
        <v>41</v>
      </c>
      <c r="F185">
        <v>4</v>
      </c>
      <c r="G185">
        <v>500</v>
      </c>
      <c r="H185">
        <v>2000</v>
      </c>
      <c r="I185" t="s">
        <v>15</v>
      </c>
      <c r="J185" t="s">
        <v>48</v>
      </c>
      <c r="K185" t="s">
        <v>26</v>
      </c>
      <c r="L185" t="str">
        <f t="shared" si="3"/>
        <v>Jan</v>
      </c>
    </row>
    <row r="186" spans="1:12" x14ac:dyDescent="0.3">
      <c r="A186" s="1" t="s">
        <v>61</v>
      </c>
      <c r="B186">
        <v>3185</v>
      </c>
      <c r="C186" t="s">
        <v>12</v>
      </c>
      <c r="D186" t="s">
        <v>13</v>
      </c>
      <c r="E186" t="s">
        <v>14</v>
      </c>
      <c r="F186">
        <v>3</v>
      </c>
      <c r="G186">
        <v>5000</v>
      </c>
      <c r="H186">
        <v>15000</v>
      </c>
      <c r="I186" t="s">
        <v>32</v>
      </c>
      <c r="J186" t="s">
        <v>28</v>
      </c>
      <c r="K186" t="s">
        <v>17</v>
      </c>
      <c r="L186" t="str">
        <f t="shared" si="3"/>
        <v>Mar</v>
      </c>
    </row>
    <row r="187" spans="1:12" x14ac:dyDescent="0.3">
      <c r="A187" s="1">
        <v>46167</v>
      </c>
      <c r="B187">
        <v>3186</v>
      </c>
      <c r="C187" t="s">
        <v>40</v>
      </c>
      <c r="D187" t="s">
        <v>24</v>
      </c>
      <c r="E187" t="s">
        <v>41</v>
      </c>
      <c r="F187">
        <v>17</v>
      </c>
      <c r="G187">
        <v>3000</v>
      </c>
      <c r="H187">
        <v>51000</v>
      </c>
      <c r="I187" t="s">
        <v>38</v>
      </c>
      <c r="J187" t="s">
        <v>16</v>
      </c>
      <c r="K187" t="s">
        <v>17</v>
      </c>
      <c r="L187" t="str">
        <f t="shared" si="3"/>
        <v>May</v>
      </c>
    </row>
    <row r="188" spans="1:12" x14ac:dyDescent="0.3">
      <c r="A188" s="1" t="s">
        <v>95</v>
      </c>
      <c r="B188">
        <v>3187</v>
      </c>
      <c r="C188" t="s">
        <v>12</v>
      </c>
      <c r="D188" t="s">
        <v>13</v>
      </c>
      <c r="E188" t="s">
        <v>14</v>
      </c>
      <c r="F188">
        <v>17</v>
      </c>
      <c r="G188">
        <v>3000</v>
      </c>
      <c r="H188">
        <v>51000</v>
      </c>
      <c r="I188" t="s">
        <v>15</v>
      </c>
      <c r="J188" t="s">
        <v>16</v>
      </c>
      <c r="K188" t="s">
        <v>26</v>
      </c>
      <c r="L188" t="str">
        <f t="shared" si="3"/>
        <v>Feb</v>
      </c>
    </row>
    <row r="189" spans="1:12" x14ac:dyDescent="0.3">
      <c r="A189" s="1">
        <v>46269</v>
      </c>
      <c r="B189">
        <v>3188</v>
      </c>
      <c r="C189" t="s">
        <v>44</v>
      </c>
      <c r="D189" t="s">
        <v>35</v>
      </c>
      <c r="E189" t="s">
        <v>45</v>
      </c>
      <c r="F189">
        <v>16</v>
      </c>
      <c r="G189">
        <v>5000</v>
      </c>
      <c r="H189">
        <v>80000</v>
      </c>
      <c r="I189" t="s">
        <v>38</v>
      </c>
      <c r="J189" t="s">
        <v>21</v>
      </c>
      <c r="K189" t="s">
        <v>17</v>
      </c>
      <c r="L189" t="str">
        <f t="shared" si="3"/>
        <v>Sep</v>
      </c>
    </row>
    <row r="190" spans="1:12" x14ac:dyDescent="0.3">
      <c r="A190" s="1">
        <v>46272</v>
      </c>
      <c r="B190">
        <v>3189</v>
      </c>
      <c r="C190" t="s">
        <v>55</v>
      </c>
      <c r="D190" t="s">
        <v>13</v>
      </c>
      <c r="E190" t="s">
        <v>31</v>
      </c>
      <c r="F190">
        <v>18</v>
      </c>
      <c r="G190">
        <v>500</v>
      </c>
      <c r="H190">
        <v>9000</v>
      </c>
      <c r="I190" t="s">
        <v>15</v>
      </c>
      <c r="J190" t="s">
        <v>28</v>
      </c>
      <c r="K190" t="s">
        <v>17</v>
      </c>
      <c r="L190" t="str">
        <f t="shared" si="3"/>
        <v>Sep</v>
      </c>
    </row>
    <row r="191" spans="1:12" x14ac:dyDescent="0.3">
      <c r="A191" s="1" t="s">
        <v>61</v>
      </c>
      <c r="B191">
        <v>3190</v>
      </c>
      <c r="C191" t="s">
        <v>40</v>
      </c>
      <c r="D191" t="s">
        <v>24</v>
      </c>
      <c r="E191" t="s">
        <v>41</v>
      </c>
      <c r="F191">
        <v>17</v>
      </c>
      <c r="G191">
        <v>500</v>
      </c>
      <c r="H191">
        <v>8500</v>
      </c>
      <c r="I191" t="s">
        <v>20</v>
      </c>
      <c r="J191" t="s">
        <v>28</v>
      </c>
      <c r="K191" t="s">
        <v>17</v>
      </c>
      <c r="L191" t="str">
        <f t="shared" si="3"/>
        <v>Mar</v>
      </c>
    </row>
    <row r="192" spans="1:12" x14ac:dyDescent="0.3">
      <c r="A192" s="1">
        <v>46256</v>
      </c>
      <c r="B192">
        <v>3191</v>
      </c>
      <c r="C192" t="s">
        <v>30</v>
      </c>
      <c r="D192" t="s">
        <v>13</v>
      </c>
      <c r="E192" t="s">
        <v>31</v>
      </c>
      <c r="F192">
        <v>6</v>
      </c>
      <c r="G192">
        <v>1500</v>
      </c>
      <c r="H192">
        <v>9000</v>
      </c>
      <c r="I192" t="s">
        <v>38</v>
      </c>
      <c r="J192" t="s">
        <v>28</v>
      </c>
      <c r="K192" t="s">
        <v>17</v>
      </c>
      <c r="L192" t="str">
        <f t="shared" si="3"/>
        <v>Aug</v>
      </c>
    </row>
    <row r="193" spans="1:12" x14ac:dyDescent="0.3">
      <c r="A193" s="1" t="s">
        <v>37</v>
      </c>
      <c r="B193">
        <v>3192</v>
      </c>
      <c r="C193" t="s">
        <v>12</v>
      </c>
      <c r="D193" t="s">
        <v>13</v>
      </c>
      <c r="E193" t="s">
        <v>14</v>
      </c>
      <c r="F193">
        <v>7</v>
      </c>
      <c r="G193">
        <v>500</v>
      </c>
      <c r="H193">
        <v>3500</v>
      </c>
      <c r="I193" t="s">
        <v>15</v>
      </c>
      <c r="J193" t="s">
        <v>16</v>
      </c>
      <c r="K193" t="s">
        <v>26</v>
      </c>
      <c r="L193" t="str">
        <f t="shared" si="3"/>
        <v>Jan</v>
      </c>
    </row>
    <row r="194" spans="1:12" x14ac:dyDescent="0.3">
      <c r="A194" s="1">
        <v>46209</v>
      </c>
      <c r="B194">
        <v>3193</v>
      </c>
      <c r="C194" t="s">
        <v>23</v>
      </c>
      <c r="D194" t="s">
        <v>24</v>
      </c>
      <c r="E194" t="s">
        <v>25</v>
      </c>
      <c r="F194">
        <v>20</v>
      </c>
      <c r="G194">
        <v>3000</v>
      </c>
      <c r="H194">
        <v>60000</v>
      </c>
      <c r="I194" t="s">
        <v>20</v>
      </c>
      <c r="J194" t="s">
        <v>48</v>
      </c>
      <c r="K194" t="s">
        <v>17</v>
      </c>
      <c r="L194" t="str">
        <f t="shared" si="3"/>
        <v>Jul</v>
      </c>
    </row>
    <row r="195" spans="1:12" x14ac:dyDescent="0.3">
      <c r="A195" s="1" t="s">
        <v>27</v>
      </c>
      <c r="B195">
        <v>3194</v>
      </c>
      <c r="C195" t="s">
        <v>19</v>
      </c>
      <c r="D195" t="s">
        <v>13</v>
      </c>
      <c r="E195" t="s">
        <v>14</v>
      </c>
      <c r="F195">
        <v>16</v>
      </c>
      <c r="G195">
        <v>2000</v>
      </c>
      <c r="H195">
        <v>32000</v>
      </c>
      <c r="I195" t="s">
        <v>20</v>
      </c>
      <c r="J195" t="s">
        <v>48</v>
      </c>
      <c r="K195" t="s">
        <v>26</v>
      </c>
      <c r="L195" t="str">
        <f t="shared" ref="L195:L201" si="6">TEXT(A195,"MMM")</f>
        <v>Jan</v>
      </c>
    </row>
    <row r="196" spans="1:12" x14ac:dyDescent="0.3">
      <c r="A196" s="1">
        <v>46217</v>
      </c>
      <c r="B196">
        <v>3195</v>
      </c>
      <c r="C196" t="s">
        <v>23</v>
      </c>
      <c r="D196" t="s">
        <v>24</v>
      </c>
      <c r="E196" t="s">
        <v>25</v>
      </c>
      <c r="F196">
        <v>15</v>
      </c>
      <c r="G196">
        <v>800</v>
      </c>
      <c r="H196">
        <v>12000</v>
      </c>
      <c r="I196" t="s">
        <v>38</v>
      </c>
      <c r="J196" t="s">
        <v>16</v>
      </c>
      <c r="K196" t="s">
        <v>17</v>
      </c>
      <c r="L196" t="str">
        <f t="shared" si="6"/>
        <v>Jul</v>
      </c>
    </row>
    <row r="197" spans="1:12" x14ac:dyDescent="0.3">
      <c r="A197" s="1">
        <v>46217</v>
      </c>
      <c r="B197">
        <v>3196</v>
      </c>
      <c r="C197" t="s">
        <v>34</v>
      </c>
      <c r="D197" t="s">
        <v>35</v>
      </c>
      <c r="E197" t="s">
        <v>36</v>
      </c>
      <c r="F197">
        <v>8</v>
      </c>
      <c r="G197">
        <v>7000</v>
      </c>
      <c r="H197">
        <f t="shared" ref="H197:H199" si="7">F197*G197</f>
        <v>56000</v>
      </c>
      <c r="I197" t="s">
        <v>20</v>
      </c>
      <c r="J197" t="s">
        <v>16</v>
      </c>
      <c r="K197" t="s">
        <v>17</v>
      </c>
      <c r="L197" t="str">
        <f t="shared" si="6"/>
        <v>Jul</v>
      </c>
    </row>
    <row r="198" spans="1:12" x14ac:dyDescent="0.3">
      <c r="A198" s="1" t="s">
        <v>33</v>
      </c>
      <c r="B198">
        <v>3197</v>
      </c>
      <c r="C198" t="s">
        <v>34</v>
      </c>
      <c r="D198" t="s">
        <v>35</v>
      </c>
      <c r="E198" t="s">
        <v>36</v>
      </c>
      <c r="F198">
        <v>14</v>
      </c>
      <c r="G198">
        <v>6000</v>
      </c>
      <c r="H198">
        <f t="shared" si="7"/>
        <v>84000</v>
      </c>
      <c r="I198" t="s">
        <v>20</v>
      </c>
      <c r="J198" t="s">
        <v>21</v>
      </c>
      <c r="K198" t="s">
        <v>17</v>
      </c>
      <c r="L198" t="str">
        <f t="shared" si="6"/>
        <v>Feb</v>
      </c>
    </row>
    <row r="199" spans="1:12" x14ac:dyDescent="0.3">
      <c r="A199" s="1" t="s">
        <v>82</v>
      </c>
      <c r="B199">
        <v>3198</v>
      </c>
      <c r="C199" t="s">
        <v>34</v>
      </c>
      <c r="D199" t="s">
        <v>35</v>
      </c>
      <c r="E199" t="s">
        <v>36</v>
      </c>
      <c r="F199">
        <v>18</v>
      </c>
      <c r="G199">
        <v>7000</v>
      </c>
      <c r="H199">
        <f t="shared" si="7"/>
        <v>126000</v>
      </c>
      <c r="I199" t="s">
        <v>38</v>
      </c>
      <c r="J199" t="s">
        <v>28</v>
      </c>
      <c r="K199" t="s">
        <v>26</v>
      </c>
      <c r="L199" t="str">
        <f t="shared" si="6"/>
        <v>Feb</v>
      </c>
    </row>
    <row r="200" spans="1:12" x14ac:dyDescent="0.3">
      <c r="A200" s="1">
        <v>46191</v>
      </c>
      <c r="B200">
        <v>3199</v>
      </c>
      <c r="C200" t="s">
        <v>55</v>
      </c>
      <c r="D200" t="s">
        <v>13</v>
      </c>
      <c r="E200" t="s">
        <v>31</v>
      </c>
      <c r="F200">
        <v>7</v>
      </c>
      <c r="G200">
        <v>1500</v>
      </c>
      <c r="H200">
        <v>10500</v>
      </c>
      <c r="I200" t="s">
        <v>38</v>
      </c>
      <c r="J200" t="s">
        <v>48</v>
      </c>
      <c r="K200" t="s">
        <v>26</v>
      </c>
      <c r="L200" t="str">
        <f t="shared" si="6"/>
        <v>Jun</v>
      </c>
    </row>
    <row r="201" spans="1:12" x14ac:dyDescent="0.3">
      <c r="A201" s="1">
        <v>46156</v>
      </c>
      <c r="B201">
        <v>3200</v>
      </c>
      <c r="C201" t="s">
        <v>55</v>
      </c>
      <c r="D201" t="s">
        <v>13</v>
      </c>
      <c r="E201" t="s">
        <v>31</v>
      </c>
      <c r="F201">
        <v>17</v>
      </c>
      <c r="G201">
        <v>3000</v>
      </c>
      <c r="H201">
        <v>51000</v>
      </c>
      <c r="I201" t="s">
        <v>20</v>
      </c>
      <c r="J201" t="s">
        <v>21</v>
      </c>
      <c r="K201" t="s">
        <v>26</v>
      </c>
      <c r="L201" t="str">
        <f t="shared" si="6"/>
        <v>May</v>
      </c>
    </row>
  </sheetData>
  <autoFilter ref="L1:L201" xr:uid="{00000000-0001-0000-0000-000000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9D6F3-9FE1-405B-9D89-C37209C0AEB6}">
  <dimension ref="A1"/>
  <sheetViews>
    <sheetView showGridLines="0" tabSelected="1" zoomScale="80" zoomScaleNormal="80" workbookViewId="0">
      <selection activeCell="T11" sqref="T11"/>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Cleaned Data</vt:lpstr>
      <vt:lpstr>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praveen bhati</cp:lastModifiedBy>
  <dcterms:created xsi:type="dcterms:W3CDTF">2026-01-22T18:17:16Z</dcterms:created>
  <dcterms:modified xsi:type="dcterms:W3CDTF">2026-01-22T21:05:58Z</dcterms:modified>
</cp:coreProperties>
</file>